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Sheet1!$A$4:$W$107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5" i="1"/>
  <c r="W54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6" i="1"/>
  <c r="G29" i="1" l="1"/>
  <c r="M29" i="1" s="1"/>
  <c r="G28" i="1"/>
  <c r="M28" i="1" s="1"/>
  <c r="G27" i="1"/>
  <c r="M27" i="1" s="1"/>
  <c r="G26" i="1"/>
  <c r="M26" i="1" s="1"/>
  <c r="G25" i="1"/>
  <c r="M25" i="1" s="1"/>
  <c r="G24" i="1"/>
  <c r="M24" i="1" s="1"/>
  <c r="G23" i="1"/>
  <c r="M23" i="1" s="1"/>
  <c r="G22" i="1"/>
  <c r="M22" i="1" s="1"/>
  <c r="G21" i="1"/>
  <c r="M21" i="1" s="1"/>
  <c r="G20" i="1"/>
  <c r="M20" i="1" s="1"/>
  <c r="G19" i="1"/>
  <c r="M19" i="1" s="1"/>
  <c r="G18" i="1"/>
  <c r="M18" i="1" s="1"/>
  <c r="G17" i="1"/>
  <c r="M17" i="1" s="1"/>
  <c r="G83" i="1" l="1"/>
  <c r="M83" i="1" s="1"/>
  <c r="G98" i="1" l="1"/>
  <c r="M98" i="1" s="1"/>
  <c r="G97" i="1"/>
  <c r="M97" i="1" s="1"/>
  <c r="G96" i="1"/>
  <c r="M96" i="1" s="1"/>
  <c r="G95" i="1"/>
  <c r="M95" i="1" s="1"/>
  <c r="G94" i="1"/>
  <c r="M94" i="1" s="1"/>
  <c r="G93" i="1"/>
  <c r="M93" i="1" s="1"/>
  <c r="G107" i="1"/>
  <c r="M107" i="1" s="1"/>
  <c r="G106" i="1"/>
  <c r="M106" i="1" s="1"/>
  <c r="G105" i="1"/>
  <c r="M105" i="1" s="1"/>
  <c r="G9" i="1"/>
  <c r="G90" i="1"/>
  <c r="M90" i="1" s="1"/>
  <c r="G103" i="1" l="1"/>
  <c r="M103" i="1" s="1"/>
  <c r="G102" i="1"/>
  <c r="M102" i="1" s="1"/>
  <c r="G10" i="1"/>
  <c r="G82" i="1"/>
  <c r="M82" i="1" s="1"/>
  <c r="G5" i="1" l="1"/>
  <c r="G6" i="1"/>
  <c r="G7" i="1"/>
  <c r="G104" i="1"/>
  <c r="M104" i="1" s="1"/>
  <c r="G81" i="1"/>
  <c r="M81" i="1" s="1"/>
  <c r="G80" i="1"/>
  <c r="M80" i="1" s="1"/>
  <c r="G89" i="1"/>
  <c r="M89" i="1" s="1"/>
  <c r="G87" i="1"/>
  <c r="M87" i="1" s="1"/>
  <c r="G76" i="1" l="1"/>
  <c r="M76" i="1" s="1"/>
  <c r="G91" i="1"/>
  <c r="M91" i="1" s="1"/>
  <c r="G92" i="1"/>
  <c r="M92" i="1" s="1"/>
  <c r="G77" i="1"/>
  <c r="M77" i="1" s="1"/>
  <c r="G67" i="1"/>
  <c r="M67" i="1" s="1"/>
  <c r="G54" i="1"/>
  <c r="M54" i="1" s="1"/>
  <c r="G99" i="1"/>
  <c r="M99" i="1" s="1"/>
  <c r="G55" i="1"/>
  <c r="M55" i="1" s="1"/>
  <c r="G57" i="1"/>
  <c r="M57" i="1" s="1"/>
  <c r="G56" i="1"/>
  <c r="M56" i="1" s="1"/>
  <c r="G58" i="1"/>
  <c r="M58" i="1" s="1"/>
  <c r="G59" i="1"/>
  <c r="M59" i="1" s="1"/>
  <c r="G60" i="1"/>
  <c r="M60" i="1" s="1"/>
  <c r="G61" i="1"/>
  <c r="M61" i="1" s="1"/>
  <c r="G79" i="1"/>
  <c r="M79" i="1" s="1"/>
  <c r="G30" i="1"/>
  <c r="M30" i="1" s="1"/>
  <c r="G62" i="1"/>
  <c r="M62" i="1" s="1"/>
  <c r="G31" i="1"/>
  <c r="M31" i="1" s="1"/>
  <c r="G63" i="1"/>
  <c r="M63" i="1" s="1"/>
  <c r="G64" i="1"/>
  <c r="M64" i="1" s="1"/>
  <c r="G65" i="1"/>
  <c r="M65" i="1" s="1"/>
  <c r="G66" i="1"/>
  <c r="M66" i="1" s="1"/>
  <c r="G68" i="1"/>
  <c r="M68" i="1" s="1"/>
  <c r="G69" i="1"/>
  <c r="M69" i="1" s="1"/>
  <c r="G70" i="1"/>
  <c r="M70" i="1" s="1"/>
  <c r="G85" i="1"/>
  <c r="M85" i="1" s="1"/>
  <c r="G86" i="1"/>
  <c r="M86" i="1" s="1"/>
  <c r="G71" i="1"/>
  <c r="M71" i="1" s="1"/>
  <c r="G72" i="1"/>
  <c r="M72" i="1" s="1"/>
  <c r="G73" i="1"/>
  <c r="M73" i="1" s="1"/>
  <c r="G8" i="1"/>
  <c r="G101" i="1"/>
  <c r="M101" i="1" s="1"/>
  <c r="G74" i="1"/>
  <c r="M74" i="1" s="1"/>
  <c r="G75" i="1"/>
  <c r="M75" i="1" s="1"/>
  <c r="G48" i="1" l="1"/>
  <c r="M48" i="1" s="1"/>
  <c r="G100" i="1"/>
  <c r="M100" i="1" s="1"/>
  <c r="G88" i="1"/>
  <c r="M88" i="1" s="1"/>
  <c r="G49" i="1"/>
  <c r="M49" i="1" s="1"/>
  <c r="G50" i="1"/>
  <c r="M50" i="1" s="1"/>
  <c r="G51" i="1"/>
  <c r="M51" i="1" s="1"/>
  <c r="G52" i="1"/>
  <c r="M52" i="1" s="1"/>
  <c r="G34" i="1"/>
  <c r="M34" i="1" s="1"/>
  <c r="G41" i="1"/>
  <c r="M41" i="1" s="1"/>
  <c r="G53" i="1"/>
  <c r="M53" i="1" s="1"/>
  <c r="G47" i="1"/>
  <c r="M47" i="1" s="1"/>
  <c r="G14" i="1"/>
  <c r="M14" i="1" s="1"/>
  <c r="G16" i="1"/>
  <c r="M16" i="1" s="1"/>
  <c r="G78" i="1"/>
  <c r="M78" i="1" s="1"/>
  <c r="G32" i="1"/>
  <c r="M32" i="1" s="1"/>
  <c r="G84" i="1" l="1"/>
  <c r="M84" i="1" s="1"/>
  <c r="G33" i="1" l="1"/>
  <c r="M33" i="1" s="1"/>
  <c r="G11" i="1"/>
  <c r="M11" i="1" s="1"/>
  <c r="G12" i="1"/>
  <c r="M12" i="1" s="1"/>
  <c r="G35" i="1"/>
  <c r="M35" i="1" s="1"/>
  <c r="G42" i="1"/>
  <c r="M42" i="1" s="1"/>
  <c r="G37" i="1"/>
  <c r="M37" i="1" s="1"/>
  <c r="G39" i="1"/>
  <c r="M39" i="1" s="1"/>
  <c r="G40" i="1"/>
  <c r="M40" i="1" s="1"/>
  <c r="G43" i="1"/>
  <c r="M43" i="1" s="1"/>
  <c r="G45" i="1"/>
  <c r="M45" i="1" s="1"/>
  <c r="G13" i="1"/>
  <c r="M13" i="1" s="1"/>
  <c r="G15" i="1"/>
  <c r="M15" i="1" s="1"/>
  <c r="G44" i="1"/>
  <c r="M44" i="1" s="1"/>
  <c r="G36" i="1"/>
  <c r="M36" i="1" s="1"/>
  <c r="G38" i="1"/>
  <c r="M38" i="1" s="1"/>
  <c r="G46" i="1"/>
  <c r="M46" i="1" s="1"/>
</calcChain>
</file>

<file path=xl/sharedStrings.xml><?xml version="1.0" encoding="utf-8"?>
<sst xmlns="http://schemas.openxmlformats.org/spreadsheetml/2006/main" count="718" uniqueCount="424">
  <si>
    <t>序列</t>
    <phoneticPr fontId="3" type="noConversion"/>
  </si>
  <si>
    <t>Id</t>
  </si>
  <si>
    <t>string</t>
    <phoneticPr fontId="3" type="noConversion"/>
  </si>
  <si>
    <t>cs</t>
  </si>
  <si>
    <t>背景图</t>
    <phoneticPr fontId="3" type="noConversion"/>
  </si>
  <si>
    <t>Icon</t>
    <phoneticPr fontId="3" type="noConversion"/>
  </si>
  <si>
    <t>cs</t>
    <phoneticPr fontId="3" type="noConversion"/>
  </si>
  <si>
    <t>int</t>
  </si>
  <si>
    <t>Name</t>
    <phoneticPr fontId="2" type="noConversion"/>
  </si>
  <si>
    <t>string</t>
    <phoneticPr fontId="2" type="noConversion"/>
  </si>
  <si>
    <t>cs</t>
    <phoneticPr fontId="2" type="noConversion"/>
  </si>
  <si>
    <t>cs</t>
    <phoneticPr fontId="3" type="noConversion"/>
  </si>
  <si>
    <t>等级</t>
    <phoneticPr fontId="2" type="noConversion"/>
  </si>
  <si>
    <t>Lv</t>
    <phoneticPr fontId="2" type="noConversion"/>
  </si>
  <si>
    <t>int</t>
    <phoneticPr fontId="2" type="noConversion"/>
  </si>
  <si>
    <t>cs</t>
    <phoneticPr fontId="2" type="noConversion"/>
  </si>
  <si>
    <t>阵营</t>
    <phoneticPr fontId="3" type="noConversion"/>
  </si>
  <si>
    <t>Side</t>
    <phoneticPr fontId="2" type="noConversion"/>
  </si>
  <si>
    <t>移动速度</t>
    <phoneticPr fontId="3" type="noConversion"/>
  </si>
  <si>
    <t>攻击距离</t>
    <phoneticPr fontId="3" type="noConversion"/>
  </si>
  <si>
    <t>xiahoudun</t>
  </si>
  <si>
    <t>zhaoyun</t>
  </si>
  <si>
    <t>zhangfei</t>
  </si>
  <si>
    <t>zhoucang</t>
  </si>
  <si>
    <t>zhangliao</t>
  </si>
  <si>
    <t>zhugeliang</t>
  </si>
  <si>
    <t>yujin</t>
  </si>
  <si>
    <t>xiahouyuan</t>
  </si>
  <si>
    <t>zhanghe</t>
  </si>
  <si>
    <t>xusu</t>
  </si>
  <si>
    <t>xuhuang</t>
  </si>
  <si>
    <t>caoren</t>
  </si>
  <si>
    <t>pangde</t>
  </si>
  <si>
    <t>weiyan</t>
  </si>
  <si>
    <t>liubei</t>
  </si>
  <si>
    <t>huangzhong</t>
  </si>
  <si>
    <t>machao</t>
  </si>
  <si>
    <t>guanyu</t>
  </si>
  <si>
    <t>caocao</t>
  </si>
  <si>
    <t>caohong</t>
  </si>
  <si>
    <t>xuchu</t>
  </si>
  <si>
    <t>dianwei</t>
  </si>
  <si>
    <t>madai</t>
  </si>
  <si>
    <t>lejin</t>
  </si>
  <si>
    <t>jiaxu</t>
  </si>
  <si>
    <t>guojia</t>
  </si>
  <si>
    <t>名字</t>
    <phoneticPr fontId="2" type="noConversion"/>
  </si>
  <si>
    <t>赵云</t>
  </si>
  <si>
    <t>张飞</t>
  </si>
  <si>
    <t>周仓</t>
  </si>
  <si>
    <t>张辽</t>
  </si>
  <si>
    <t>诸葛亮</t>
  </si>
  <si>
    <t>于禁</t>
  </si>
  <si>
    <t>夏侯渊</t>
  </si>
  <si>
    <t>曹仁</t>
  </si>
  <si>
    <t>刘备</t>
  </si>
  <si>
    <t>黄忠</t>
  </si>
  <si>
    <t>马超</t>
  </si>
  <si>
    <t>关羽</t>
  </si>
  <si>
    <t>曹操</t>
  </si>
  <si>
    <t>曹洪</t>
  </si>
  <si>
    <t>典韦</t>
  </si>
  <si>
    <t>马岱</t>
  </si>
  <si>
    <t>乐进</t>
  </si>
  <si>
    <t>贾诩</t>
  </si>
  <si>
    <t>郭嘉</t>
  </si>
  <si>
    <t>统帅</t>
    <phoneticPr fontId="2" type="noConversion"/>
  </si>
  <si>
    <t>LeadShip</t>
    <phoneticPr fontId="2" type="noConversion"/>
  </si>
  <si>
    <t>int</t>
    <phoneticPr fontId="2" type="noConversion"/>
  </si>
  <si>
    <t>cs</t>
    <phoneticPr fontId="2" type="noConversion"/>
  </si>
  <si>
    <t>智力</t>
    <phoneticPr fontId="2" type="noConversion"/>
  </si>
  <si>
    <t>int</t>
    <phoneticPr fontId="2" type="noConversion"/>
  </si>
  <si>
    <t>武力</t>
    <phoneticPr fontId="2" type="noConversion"/>
  </si>
  <si>
    <t>Str</t>
    <phoneticPr fontId="2" type="noConversion"/>
  </si>
  <si>
    <t>总属性</t>
    <phoneticPr fontId="2" type="noConversion"/>
  </si>
  <si>
    <t>Total</t>
    <phoneticPr fontId="2" type="noConversion"/>
  </si>
  <si>
    <t>int</t>
    <phoneticPr fontId="2" type="noConversion"/>
  </si>
  <si>
    <t>cs</t>
    <phoneticPr fontId="2" type="noConversion"/>
  </si>
  <si>
    <t>徐晃</t>
    <phoneticPr fontId="2" type="noConversion"/>
  </si>
  <si>
    <t>simayi</t>
  </si>
  <si>
    <t>dengai</t>
  </si>
  <si>
    <t>jiangwei</t>
  </si>
  <si>
    <t>pangtong</t>
  </si>
  <si>
    <t>liyan</t>
  </si>
  <si>
    <t>司马懿</t>
  </si>
  <si>
    <t>邓艾</t>
  </si>
  <si>
    <t>姜维</t>
  </si>
  <si>
    <t>庞统</t>
  </si>
  <si>
    <t>李严</t>
  </si>
  <si>
    <t>int</t>
    <phoneticPr fontId="2" type="noConversion"/>
  </si>
  <si>
    <t>cs</t>
    <phoneticPr fontId="2" type="noConversion"/>
  </si>
  <si>
    <t>职业</t>
    <phoneticPr fontId="2" type="noConversion"/>
  </si>
  <si>
    <t>Job</t>
    <phoneticPr fontId="2" type="noConversion"/>
  </si>
  <si>
    <t>string</t>
    <phoneticPr fontId="2" type="noConversion"/>
  </si>
  <si>
    <t>cs</t>
    <phoneticPr fontId="2" type="noConversion"/>
  </si>
  <si>
    <t>hit</t>
    <phoneticPr fontId="2" type="noConversion"/>
  </si>
  <si>
    <t>HitEffect</t>
    <phoneticPr fontId="2" type="noConversion"/>
  </si>
  <si>
    <t>cs</t>
    <phoneticPr fontId="2" type="noConversion"/>
  </si>
  <si>
    <t>StormExplosion</t>
  </si>
  <si>
    <t>SwordHitYellowCritical</t>
  </si>
  <si>
    <t>SwordHitYellowCritical</t>
    <phoneticPr fontId="2" type="noConversion"/>
  </si>
  <si>
    <t>zhangsong</t>
  </si>
  <si>
    <t>chengyu</t>
  </si>
  <si>
    <t>jiangwan</t>
  </si>
  <si>
    <t>zhangren</t>
  </si>
  <si>
    <t>zhonghui</t>
  </si>
  <si>
    <t>wenyuan</t>
  </si>
  <si>
    <t>caozhen</t>
  </si>
  <si>
    <t>chenqun</t>
  </si>
  <si>
    <t>lidian</t>
  </si>
  <si>
    <t>sunqian</t>
  </si>
  <si>
    <t>xunyu</t>
  </si>
  <si>
    <t>xunyou</t>
  </si>
  <si>
    <t>feiyi</t>
  </si>
  <si>
    <t>liuye</t>
  </si>
  <si>
    <t>masu</t>
  </si>
  <si>
    <t>maliang</t>
  </si>
  <si>
    <t>张松</t>
  </si>
  <si>
    <t>程昱</t>
  </si>
  <si>
    <t>钟会</t>
  </si>
  <si>
    <t>曹真</t>
  </si>
  <si>
    <t>陈群</t>
  </si>
  <si>
    <t>李典</t>
  </si>
  <si>
    <t>孙乾</t>
  </si>
  <si>
    <t>荀彧</t>
  </si>
  <si>
    <t>荀攸</t>
  </si>
  <si>
    <t>刘晔</t>
  </si>
  <si>
    <t>马谡</t>
  </si>
  <si>
    <t>出场概率</t>
    <phoneticPr fontId="2" type="noConversion"/>
  </si>
  <si>
    <t>lvbu</t>
  </si>
  <si>
    <t>yanliang</t>
  </si>
  <si>
    <t>wenchou</t>
  </si>
  <si>
    <t>huaxiong</t>
  </si>
  <si>
    <t>sunshangxiang</t>
  </si>
  <si>
    <t>sunce</t>
  </si>
  <si>
    <t>gongsunzan</t>
  </si>
  <si>
    <t>sunjian</t>
  </si>
  <si>
    <t>sunquan</t>
  </si>
  <si>
    <t>taishici</t>
  </si>
  <si>
    <t>ganning</t>
  </si>
  <si>
    <t>huanggai</t>
  </si>
  <si>
    <t>zhoutai</t>
  </si>
  <si>
    <t>lusu</t>
  </si>
  <si>
    <t>zhouyu</t>
  </si>
  <si>
    <t>diaochan</t>
  </si>
  <si>
    <t>fazheng</t>
  </si>
  <si>
    <t>jiangqing</t>
  </si>
  <si>
    <t>liushan</t>
  </si>
  <si>
    <t>lvmeng</t>
  </si>
  <si>
    <t>luxun</t>
  </si>
  <si>
    <t>zhangzhao</t>
  </si>
  <si>
    <t>zhugejin</t>
  </si>
  <si>
    <t>zhuhuan</t>
  </si>
  <si>
    <t>daqiao</t>
  </si>
  <si>
    <t>xiaoqiao</t>
  </si>
  <si>
    <t>simashi</t>
  </si>
  <si>
    <t>simazhao</t>
  </si>
  <si>
    <t>dingfeng</t>
  </si>
  <si>
    <t>lingtong</t>
  </si>
  <si>
    <t>panzhang</t>
  </si>
  <si>
    <t>dongzhuo</t>
  </si>
  <si>
    <t>huatuo</t>
  </si>
  <si>
    <t>xusheng</t>
  </si>
  <si>
    <t>chengpu</t>
  </si>
  <si>
    <t>吕布</t>
  </si>
  <si>
    <t>颜良</t>
  </si>
  <si>
    <t>文丑</t>
  </si>
  <si>
    <t>孙尚香</t>
  </si>
  <si>
    <t>孙策</t>
  </si>
  <si>
    <t>孙坚</t>
  </si>
  <si>
    <t>孙权</t>
  </si>
  <si>
    <t>太史慈</t>
  </si>
  <si>
    <t>黄盖</t>
  </si>
  <si>
    <t>周泰</t>
  </si>
  <si>
    <t>鲁肃</t>
  </si>
  <si>
    <t>周瑜</t>
  </si>
  <si>
    <t>貂蝉</t>
  </si>
  <si>
    <t>法正</t>
  </si>
  <si>
    <t>蒋钦</t>
  </si>
  <si>
    <t>刘禅</t>
  </si>
  <si>
    <t>陆逊</t>
  </si>
  <si>
    <t>大乔</t>
  </si>
  <si>
    <t>小乔</t>
  </si>
  <si>
    <t>司马师</t>
  </si>
  <si>
    <t>司马昭</t>
  </si>
  <si>
    <t>华佗</t>
  </si>
  <si>
    <t>徐盛</t>
  </si>
  <si>
    <t>程普</t>
  </si>
  <si>
    <t>潘璋</t>
    <phoneticPr fontId="2" type="noConversion"/>
  </si>
  <si>
    <t>公孙瓒</t>
    <phoneticPr fontId="2" type="noConversion"/>
  </si>
  <si>
    <t>诸葛瑾</t>
    <phoneticPr fontId="2" type="noConversion"/>
  </si>
  <si>
    <t>RateWeight</t>
    <phoneticPr fontId="2" type="noConversion"/>
  </si>
  <si>
    <t>出场概率，绝对</t>
    <phoneticPr fontId="2" type="noConversion"/>
  </si>
  <si>
    <t>Inte</t>
    <phoneticPr fontId="2" type="noConversion"/>
  </si>
  <si>
    <t>技能</t>
    <phoneticPr fontId="2" type="noConversion"/>
  </si>
  <si>
    <t>yangku</t>
    <phoneticPr fontId="2" type="noConversion"/>
  </si>
  <si>
    <t>陈泰</t>
    <phoneticPr fontId="2" type="noConversion"/>
  </si>
  <si>
    <t>臧霸</t>
    <phoneticPr fontId="2" type="noConversion"/>
  </si>
  <si>
    <t>zangba</t>
    <phoneticPr fontId="2" type="noConversion"/>
  </si>
  <si>
    <t>董卓</t>
    <phoneticPr fontId="2" type="noConversion"/>
  </si>
  <si>
    <t>高顺</t>
    <phoneticPr fontId="2" type="noConversion"/>
  </si>
  <si>
    <t>于吉</t>
    <phoneticPr fontId="2" type="noConversion"/>
  </si>
  <si>
    <t>yuji</t>
    <phoneticPr fontId="2" type="noConversion"/>
  </si>
  <si>
    <t>gaoshun</t>
    <phoneticPr fontId="2" type="noConversion"/>
  </si>
  <si>
    <t>chentai</t>
    <phoneticPr fontId="2" type="noConversion"/>
  </si>
  <si>
    <t>int</t>
    <phoneticPr fontId="2" type="noConversion"/>
  </si>
  <si>
    <t>站位</t>
    <phoneticPr fontId="2" type="noConversion"/>
  </si>
  <si>
    <t>Pos</t>
    <phoneticPr fontId="2" type="noConversion"/>
  </si>
  <si>
    <t>int</t>
    <phoneticPr fontId="2" type="noConversion"/>
  </si>
  <si>
    <t>cs</t>
    <phoneticPr fontId="2" type="noConversion"/>
  </si>
  <si>
    <t>liru</t>
    <phoneticPr fontId="2" type="noConversion"/>
  </si>
  <si>
    <t>袁绍</t>
    <phoneticPr fontId="2" type="noConversion"/>
  </si>
  <si>
    <t>yuanshao</t>
    <phoneticPr fontId="2" type="noConversion"/>
  </si>
  <si>
    <t>袁术</t>
    <phoneticPr fontId="2" type="noConversion"/>
  </si>
  <si>
    <t>yuanshu</t>
    <phoneticPr fontId="2" type="noConversion"/>
  </si>
  <si>
    <t>马腾</t>
    <phoneticPr fontId="2" type="noConversion"/>
  </si>
  <si>
    <t>mateng</t>
    <phoneticPr fontId="2" type="noConversion"/>
  </si>
  <si>
    <t>张郃</t>
    <phoneticPr fontId="2" type="noConversion"/>
  </si>
  <si>
    <t>夏侯惇</t>
    <phoneticPr fontId="2" type="noConversion"/>
  </si>
  <si>
    <t>LightningExplosionBlue</t>
    <phoneticPr fontId="2" type="noConversion"/>
  </si>
  <si>
    <t>ExplosionFireballFire</t>
    <phoneticPr fontId="2" type="noConversion"/>
  </si>
  <si>
    <t>ExplosionFireballFire</t>
    <phoneticPr fontId="2" type="noConversion"/>
  </si>
  <si>
    <t>ShadowExplosion</t>
    <phoneticPr fontId="2" type="noConversion"/>
  </si>
  <si>
    <t>ShadowExplosion</t>
    <phoneticPr fontId="2" type="noConversion"/>
  </si>
  <si>
    <t>BulletExplosionBlue</t>
  </si>
  <si>
    <t>FrostExplosionBlue</t>
    <phoneticPr fontId="2" type="noConversion"/>
  </si>
  <si>
    <t>FrostExplosionBlue</t>
    <phoneticPr fontId="2" type="noConversion"/>
  </si>
  <si>
    <t>GasExplosionFire</t>
    <phoneticPr fontId="2" type="noConversion"/>
  </si>
  <si>
    <t>GasExplosionFire</t>
    <phoneticPr fontId="2" type="noConversion"/>
  </si>
  <si>
    <t>导弹速度</t>
    <phoneticPr fontId="2" type="noConversion"/>
  </si>
  <si>
    <t>MissileSpeed</t>
    <phoneticPr fontId="2" type="noConversion"/>
  </si>
  <si>
    <t>int</t>
    <phoneticPr fontId="2" type="noConversion"/>
  </si>
  <si>
    <t>cs</t>
    <phoneticPr fontId="2" type="noConversion"/>
  </si>
  <si>
    <t>SwordHitYellowCritical</t>
    <phoneticPr fontId="2" type="noConversion"/>
  </si>
  <si>
    <t>导弹高度</t>
    <phoneticPr fontId="2" type="noConversion"/>
  </si>
  <si>
    <t>MissileHight</t>
    <phoneticPr fontId="2" type="noConversion"/>
  </si>
  <si>
    <t>float</t>
    <phoneticPr fontId="2" type="noConversion"/>
  </si>
  <si>
    <t>cs</t>
    <phoneticPr fontId="2" type="noConversion"/>
  </si>
  <si>
    <t>RateAbs</t>
    <phoneticPr fontId="2" type="noConversion"/>
  </si>
  <si>
    <t>团队</t>
    <phoneticPr fontId="2" type="noConversion"/>
  </si>
  <si>
    <t>string</t>
    <phoneticPr fontId="2" type="noConversion"/>
  </si>
  <si>
    <t>cs</t>
    <phoneticPr fontId="2" type="noConversion"/>
  </si>
  <si>
    <t>core</t>
    <phoneticPr fontId="2" type="noConversion"/>
  </si>
  <si>
    <t>def</t>
    <phoneticPr fontId="2" type="noConversion"/>
  </si>
  <si>
    <t>atk</t>
    <phoneticPr fontId="2" type="noConversion"/>
  </si>
  <si>
    <t>shoot</t>
    <phoneticPr fontId="2" type="noConversion"/>
  </si>
  <si>
    <t>inte</t>
    <phoneticPr fontId="2" type="noConversion"/>
  </si>
  <si>
    <t>atk</t>
    <phoneticPr fontId="2" type="noConversion"/>
  </si>
  <si>
    <t>def</t>
    <phoneticPr fontId="2" type="noConversion"/>
  </si>
  <si>
    <t>def</t>
    <phoneticPr fontId="2" type="noConversion"/>
  </si>
  <si>
    <t>def</t>
    <phoneticPr fontId="2" type="noConversion"/>
  </si>
  <si>
    <t>help</t>
    <phoneticPr fontId="2" type="noConversion"/>
  </si>
  <si>
    <t>def</t>
    <phoneticPr fontId="2" type="noConversion"/>
  </si>
  <si>
    <t>Group</t>
    <phoneticPr fontId="2" type="noConversion"/>
  </si>
  <si>
    <t>杜预</t>
    <phoneticPr fontId="2" type="noConversion"/>
  </si>
  <si>
    <t>duyu</t>
    <phoneticPr fontId="2" type="noConversion"/>
  </si>
  <si>
    <t>司马炎</t>
    <phoneticPr fontId="2" type="noConversion"/>
  </si>
  <si>
    <t>simayan</t>
    <phoneticPr fontId="2" type="noConversion"/>
  </si>
  <si>
    <t>张角</t>
    <phoneticPr fontId="2" type="noConversion"/>
  </si>
  <si>
    <t>zhangjiao</t>
    <phoneticPr fontId="2" type="noConversion"/>
  </si>
  <si>
    <t>zhangbao2</t>
    <phoneticPr fontId="2" type="noConversion"/>
  </si>
  <si>
    <t>张宝</t>
    <phoneticPr fontId="2" type="noConversion"/>
  </si>
  <si>
    <t>zhangliang</t>
    <phoneticPr fontId="2" type="noConversion"/>
  </si>
  <si>
    <t>张梁</t>
    <phoneticPr fontId="2" type="noConversion"/>
  </si>
  <si>
    <t>田丰</t>
    <phoneticPr fontId="2" type="noConversion"/>
  </si>
  <si>
    <t>tianfeng</t>
    <phoneticPr fontId="2" type="noConversion"/>
  </si>
  <si>
    <t>鞠义</t>
    <phoneticPr fontId="2" type="noConversion"/>
  </si>
  <si>
    <t>许攸</t>
    <phoneticPr fontId="2" type="noConversion"/>
  </si>
  <si>
    <t>xuyou</t>
    <phoneticPr fontId="2" type="noConversion"/>
  </si>
  <si>
    <t>juyi</t>
    <phoneticPr fontId="2" type="noConversion"/>
  </si>
  <si>
    <t>高览</t>
    <phoneticPr fontId="2" type="noConversion"/>
  </si>
  <si>
    <t>gaolan</t>
    <phoneticPr fontId="2" type="noConversion"/>
  </si>
  <si>
    <t>沮授</t>
    <phoneticPr fontId="2" type="noConversion"/>
  </si>
  <si>
    <t>jushou</t>
    <phoneticPr fontId="2" type="noConversion"/>
  </si>
  <si>
    <t>郭图</t>
    <phoneticPr fontId="2" type="noConversion"/>
  </si>
  <si>
    <t>guotu</t>
    <phoneticPr fontId="2" type="noConversion"/>
  </si>
  <si>
    <t>羊祜</t>
    <phoneticPr fontId="2" type="noConversion"/>
  </si>
  <si>
    <t>李儒</t>
    <phoneticPr fontId="2" type="noConversion"/>
  </si>
  <si>
    <t>def</t>
    <phoneticPr fontId="2" type="noConversion"/>
  </si>
  <si>
    <t>atk</t>
    <phoneticPr fontId="2" type="noConversion"/>
  </si>
  <si>
    <t>def</t>
    <phoneticPr fontId="2" type="noConversion"/>
  </si>
  <si>
    <t>马良</t>
    <phoneticPr fontId="2" type="noConversion"/>
  </si>
  <si>
    <t>张昭</t>
    <phoneticPr fontId="2" type="noConversion"/>
  </si>
  <si>
    <t>蒋琬</t>
    <phoneticPr fontId="2" type="noConversion"/>
  </si>
  <si>
    <t>费祎</t>
    <phoneticPr fontId="2" type="noConversion"/>
  </si>
  <si>
    <t>甘宁</t>
    <phoneticPr fontId="2" type="noConversion"/>
  </si>
  <si>
    <t>丁奉</t>
    <phoneticPr fontId="2" type="noConversion"/>
  </si>
  <si>
    <t>徐庶</t>
    <phoneticPr fontId="2" type="noConversion"/>
  </si>
  <si>
    <t>文鸯</t>
    <phoneticPr fontId="2" type="noConversion"/>
  </si>
  <si>
    <t>华雄</t>
    <phoneticPr fontId="2" type="noConversion"/>
  </si>
  <si>
    <t>凌统</t>
    <phoneticPr fontId="2" type="noConversion"/>
  </si>
  <si>
    <t>庞德</t>
    <phoneticPr fontId="2" type="noConversion"/>
  </si>
  <si>
    <t>许褚</t>
    <phoneticPr fontId="2" type="noConversion"/>
  </si>
  <si>
    <t>魏延</t>
    <phoneticPr fontId="2" type="noConversion"/>
  </si>
  <si>
    <t>吕蒙</t>
    <phoneticPr fontId="2" type="noConversion"/>
  </si>
  <si>
    <t>朱桓</t>
    <phoneticPr fontId="2" type="noConversion"/>
  </si>
  <si>
    <t>陈宫</t>
    <phoneticPr fontId="2" type="noConversion"/>
  </si>
  <si>
    <t>chengong</t>
    <phoneticPr fontId="2" type="noConversion"/>
  </si>
  <si>
    <t>关系数量</t>
    <phoneticPr fontId="3" type="noConversion"/>
  </si>
  <si>
    <t>FriendCount</t>
    <phoneticPr fontId="3" type="noConversion"/>
  </si>
  <si>
    <t>int</t>
    <phoneticPr fontId="3" type="noConversion"/>
  </si>
  <si>
    <t>张任</t>
    <phoneticPr fontId="2" type="noConversion"/>
  </si>
  <si>
    <t>MoveSpeed</t>
    <phoneticPr fontId="3" type="noConversion"/>
  </si>
  <si>
    <t>Range</t>
    <phoneticPr fontId="3" type="noConversion"/>
  </si>
  <si>
    <t>神</t>
  </si>
  <si>
    <t>威</t>
  </si>
  <si>
    <t>斩</t>
  </si>
  <si>
    <t>破</t>
  </si>
  <si>
    <t>矢</t>
  </si>
  <si>
    <t>锁</t>
  </si>
  <si>
    <t>百</t>
  </si>
  <si>
    <t>伏</t>
  </si>
  <si>
    <t>刺</t>
  </si>
  <si>
    <t>青</t>
  </si>
  <si>
    <t>雨</t>
  </si>
  <si>
    <t>护</t>
  </si>
  <si>
    <t>连</t>
  </si>
  <si>
    <t>商</t>
  </si>
  <si>
    <t>虎</t>
  </si>
  <si>
    <t>镜</t>
  </si>
  <si>
    <t>天</t>
    <phoneticPr fontId="2" type="noConversion"/>
  </si>
  <si>
    <t>青</t>
    <phoneticPr fontId="2" type="noConversion"/>
  </si>
  <si>
    <t>国</t>
    <phoneticPr fontId="2" type="noConversion"/>
  </si>
  <si>
    <t>鬼</t>
    <phoneticPr fontId="2" type="noConversion"/>
  </si>
  <si>
    <t>炎</t>
    <phoneticPr fontId="2" type="noConversion"/>
  </si>
  <si>
    <t>学</t>
    <phoneticPr fontId="2" type="noConversion"/>
  </si>
  <si>
    <t>Skill1</t>
    <phoneticPr fontId="2" type="noConversion"/>
  </si>
  <si>
    <t>string</t>
    <phoneticPr fontId="2" type="noConversion"/>
  </si>
  <si>
    <t>Skill2</t>
    <phoneticPr fontId="2" type="noConversion"/>
  </si>
  <si>
    <t>技能2</t>
    <phoneticPr fontId="2" type="noConversion"/>
  </si>
  <si>
    <t>int[]</t>
    <phoneticPr fontId="2" type="noConversion"/>
  </si>
  <si>
    <t>Skills</t>
    <phoneticPr fontId="2" type="noConversion"/>
  </si>
  <si>
    <t>帅</t>
  </si>
  <si>
    <t>士</t>
  </si>
  <si>
    <t>车</t>
  </si>
  <si>
    <t>戟</t>
  </si>
  <si>
    <t>枪</t>
  </si>
  <si>
    <t>炮</t>
  </si>
  <si>
    <t>弩</t>
  </si>
  <si>
    <t>谋</t>
  </si>
  <si>
    <t>相</t>
  </si>
  <si>
    <t>扇</t>
  </si>
  <si>
    <t>弓</t>
  </si>
  <si>
    <t>乐</t>
  </si>
  <si>
    <t>医</t>
  </si>
  <si>
    <t>刀</t>
  </si>
  <si>
    <t>马</t>
  </si>
  <si>
    <t>鼓</t>
  </si>
  <si>
    <t>连</t>
    <phoneticPr fontId="2" type="noConversion"/>
  </si>
  <si>
    <t>延</t>
    <phoneticPr fontId="2" type="noConversion"/>
  </si>
  <si>
    <t>坚</t>
    <phoneticPr fontId="2" type="noConversion"/>
  </si>
  <si>
    <t>坚</t>
    <phoneticPr fontId="2" type="noConversion"/>
  </si>
  <si>
    <t>解</t>
    <phoneticPr fontId="2" type="noConversion"/>
  </si>
  <si>
    <t>atk</t>
    <phoneticPr fontId="2" type="noConversion"/>
  </si>
  <si>
    <t>help</t>
    <phoneticPr fontId="2" type="noConversion"/>
  </si>
  <si>
    <t>atk</t>
    <phoneticPr fontId="2" type="noConversion"/>
  </si>
  <si>
    <t>atk</t>
    <phoneticPr fontId="2" type="noConversion"/>
  </si>
  <si>
    <t>def</t>
    <phoneticPr fontId="2" type="noConversion"/>
  </si>
  <si>
    <t>def</t>
    <phoneticPr fontId="2" type="noConversion"/>
  </si>
  <si>
    <t>def</t>
    <phoneticPr fontId="2" type="noConversion"/>
  </si>
  <si>
    <t>米</t>
    <phoneticPr fontId="2" type="noConversion"/>
  </si>
  <si>
    <t>劫</t>
    <phoneticPr fontId="2" type="noConversion"/>
  </si>
  <si>
    <t>励</t>
  </si>
  <si>
    <t>奋</t>
    <phoneticPr fontId="2" type="noConversion"/>
  </si>
  <si>
    <t>奋</t>
    <phoneticPr fontId="2" type="noConversion"/>
  </si>
  <si>
    <t>ShadowExplosionGreen</t>
    <phoneticPr fontId="2" type="noConversion"/>
  </si>
  <si>
    <t>FanExplosion</t>
    <phoneticPr fontId="2" type="noConversion"/>
  </si>
  <si>
    <t>SoulExplosionOrange</t>
    <phoneticPr fontId="2" type="noConversion"/>
  </si>
  <si>
    <t>SharpExplosionGreen</t>
    <phoneticPr fontId="2" type="noConversion"/>
  </si>
  <si>
    <t>LightningExplosionYellow</t>
    <phoneticPr fontId="2" type="noConversion"/>
  </si>
  <si>
    <t>SwordHitGreenCritical</t>
    <phoneticPr fontId="2" type="noConversion"/>
  </si>
  <si>
    <t>SwordHitWhiteCritical</t>
    <phoneticPr fontId="2" type="noConversion"/>
  </si>
  <si>
    <t>SwordHitWhiteCritical</t>
    <phoneticPr fontId="2" type="noConversion"/>
  </si>
  <si>
    <t>SwordHitBlackRedCritical</t>
    <phoneticPr fontId="2" type="noConversion"/>
  </si>
  <si>
    <t>BulletExplosionFire</t>
    <phoneticPr fontId="2" type="noConversion"/>
  </si>
  <si>
    <t>奇</t>
    <phoneticPr fontId="2" type="noConversion"/>
  </si>
  <si>
    <t>铁</t>
    <phoneticPr fontId="2" type="noConversion"/>
  </si>
  <si>
    <t>速</t>
    <phoneticPr fontId="2" type="noConversion"/>
  </si>
  <si>
    <t>旋</t>
    <phoneticPr fontId="2" type="noConversion"/>
  </si>
  <si>
    <t>旋</t>
    <phoneticPr fontId="2" type="noConversion"/>
  </si>
  <si>
    <t>炮</t>
    <phoneticPr fontId="2" type="noConversion"/>
  </si>
  <si>
    <t>分</t>
    <phoneticPr fontId="2" type="noConversion"/>
  </si>
  <si>
    <t>魔</t>
    <phoneticPr fontId="2" type="noConversion"/>
  </si>
  <si>
    <t>实</t>
    <phoneticPr fontId="2" type="noConversion"/>
  </si>
  <si>
    <t>境</t>
    <phoneticPr fontId="2" type="noConversion"/>
  </si>
  <si>
    <t>连</t>
    <phoneticPr fontId="2" type="noConversion"/>
  </si>
  <si>
    <t>静</t>
    <phoneticPr fontId="2" type="noConversion"/>
  </si>
  <si>
    <t>识</t>
    <phoneticPr fontId="2" type="noConversion"/>
  </si>
  <si>
    <t>识</t>
    <phoneticPr fontId="2" type="noConversion"/>
  </si>
  <si>
    <t>调</t>
    <phoneticPr fontId="2" type="noConversion"/>
  </si>
  <si>
    <t>碉</t>
    <phoneticPr fontId="2" type="noConversion"/>
  </si>
  <si>
    <t>碉</t>
    <phoneticPr fontId="2" type="noConversion"/>
  </si>
  <si>
    <t>曲</t>
    <phoneticPr fontId="2" type="noConversion"/>
  </si>
  <si>
    <t>曲</t>
    <phoneticPr fontId="2" type="noConversion"/>
  </si>
  <si>
    <t>药</t>
    <phoneticPr fontId="2" type="noConversion"/>
  </si>
  <si>
    <t>敏</t>
    <phoneticPr fontId="2" type="noConversion"/>
  </si>
  <si>
    <t>劫</t>
    <phoneticPr fontId="2" type="noConversion"/>
  </si>
  <si>
    <t>火</t>
    <phoneticPr fontId="2" type="noConversion"/>
  </si>
  <si>
    <t>GasShootFire</t>
    <phoneticPr fontId="2" type="noConversion"/>
  </si>
  <si>
    <t>斧</t>
    <phoneticPr fontId="2" type="noConversion"/>
  </si>
  <si>
    <t>共</t>
    <phoneticPr fontId="2" type="noConversion"/>
  </si>
  <si>
    <t>雷</t>
    <phoneticPr fontId="2" type="noConversion"/>
  </si>
  <si>
    <t>仁</t>
    <phoneticPr fontId="2" type="noConversion"/>
  </si>
  <si>
    <t>衡</t>
    <phoneticPr fontId="2" type="noConversion"/>
  </si>
  <si>
    <t>虐</t>
    <phoneticPr fontId="2" type="noConversion"/>
  </si>
  <si>
    <t>虐</t>
    <phoneticPr fontId="2" type="noConversion"/>
  </si>
  <si>
    <t>米</t>
  </si>
  <si>
    <t>米</t>
    <phoneticPr fontId="2" type="noConversion"/>
  </si>
  <si>
    <t>励</t>
    <phoneticPr fontId="2" type="noConversion"/>
  </si>
  <si>
    <t>奋</t>
    <phoneticPr fontId="2" type="noConversion"/>
  </si>
  <si>
    <t>缓</t>
    <phoneticPr fontId="2" type="noConversion"/>
  </si>
  <si>
    <t>BulletExplosionBlue</t>
    <phoneticPr fontId="2" type="noConversion"/>
  </si>
  <si>
    <t>羽</t>
    <phoneticPr fontId="2" type="noConversion"/>
  </si>
  <si>
    <t>羽</t>
    <phoneticPr fontId="2" type="noConversion"/>
  </si>
  <si>
    <t>乱</t>
    <phoneticPr fontId="2" type="noConversion"/>
  </si>
  <si>
    <t>炽</t>
    <phoneticPr fontId="2" type="noConversion"/>
  </si>
  <si>
    <t>空</t>
    <phoneticPr fontId="2" type="noConversion"/>
  </si>
  <si>
    <t>破</t>
    <phoneticPr fontId="2" type="noConversion"/>
  </si>
  <si>
    <t>纷</t>
  </si>
  <si>
    <t>白</t>
  </si>
  <si>
    <t>坚</t>
  </si>
  <si>
    <t>复</t>
  </si>
  <si>
    <t>陷</t>
  </si>
  <si>
    <t>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</si>
</sst>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CE917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 textRotation="255" wrapText="1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textRotation="255" wrapText="1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1" fillId="8" borderId="0" xfId="0" applyFont="1" applyFill="1" applyBorder="1" applyAlignment="1">
      <alignment horizontal="left"/>
    </xf>
  </cellXfs>
  <cellStyles count="1">
    <cellStyle name="常规" xfId="0" builtinId="0"/>
  </cellStyles>
  <dxfs count="30">
    <dxf>
      <fill>
        <patternFill>
          <bgColor rgb="FFFF0000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7" tint="0.3999450666829432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3dPrj\SanTeam\Design\config\HeroFriend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D1" t="str">
            <v>英雄列表，最多5人，一般2-3人较多</v>
          </cell>
        </row>
        <row r="2">
          <cell r="D2" t="str">
            <v>Heros</v>
          </cell>
        </row>
        <row r="3">
          <cell r="D3" t="str">
            <v>int[]</v>
          </cell>
        </row>
        <row r="4">
          <cell r="D4" t="str">
            <v>cs</v>
          </cell>
        </row>
        <row r="5">
          <cell r="D5" t="str">
            <v>100001,101002,101005</v>
          </cell>
        </row>
        <row r="6">
          <cell r="D6" t="str">
            <v>101001,101002,101003,101005,101008</v>
          </cell>
        </row>
        <row r="7">
          <cell r="D7" t="str">
            <v>101004,101010</v>
          </cell>
        </row>
        <row r="8">
          <cell r="D8" t="str">
            <v>101004,101017</v>
          </cell>
        </row>
        <row r="9">
          <cell r="D9" t="str">
            <v>101003,101011,110005</v>
          </cell>
        </row>
        <row r="10">
          <cell r="D10" t="str">
            <v>101005,101013,101012,101021</v>
          </cell>
        </row>
        <row r="11">
          <cell r="D11" t="str">
            <v>101002,101019</v>
          </cell>
        </row>
        <row r="12">
          <cell r="D12" t="str">
            <v>101004,101032</v>
          </cell>
        </row>
        <row r="13">
          <cell r="D13" t="str">
            <v>101016,101035</v>
          </cell>
        </row>
        <row r="14">
          <cell r="D14" t="str">
            <v>101007,101008</v>
          </cell>
        </row>
        <row r="15">
          <cell r="D15" t="str">
            <v>101014,101002</v>
          </cell>
        </row>
        <row r="16">
          <cell r="D16" t="str">
            <v>101006,101004</v>
          </cell>
        </row>
        <row r="17">
          <cell r="D17" t="str">
            <v>102002,102006,102012,102013</v>
          </cell>
        </row>
        <row r="18">
          <cell r="D18" t="str">
            <v>102029, 100002,102030,102033,102039</v>
          </cell>
        </row>
        <row r="19">
          <cell r="D19" t="str">
            <v>102004,102008,102009,102011,102015</v>
          </cell>
        </row>
        <row r="20">
          <cell r="D20" t="str">
            <v>102001,102003,102010,102022</v>
          </cell>
        </row>
        <row r="21">
          <cell r="D21" t="str">
            <v>102002,102006</v>
          </cell>
        </row>
        <row r="22">
          <cell r="D22" t="str">
            <v>102018,102008</v>
          </cell>
        </row>
        <row r="23">
          <cell r="D23" t="str">
            <v>103001,103002,100003</v>
          </cell>
        </row>
        <row r="24">
          <cell r="D24" t="str">
            <v>103001,103002,103005,103024,103029</v>
          </cell>
        </row>
        <row r="25">
          <cell r="D25" t="str">
            <v>103009,103006,103019,103034</v>
          </cell>
        </row>
        <row r="26">
          <cell r="D26" t="str">
            <v>103008,103010,103011</v>
          </cell>
        </row>
        <row r="27">
          <cell r="D27" t="str">
            <v>103002,103008</v>
          </cell>
        </row>
        <row r="28">
          <cell r="D28" t="str">
            <v>103016,103017</v>
          </cell>
        </row>
        <row r="29">
          <cell r="D29" t="str">
            <v>103003,103004</v>
          </cell>
        </row>
        <row r="30">
          <cell r="D30" t="str">
            <v>103011,103030</v>
          </cell>
        </row>
        <row r="31">
          <cell r="D31" t="str">
            <v>104001,104006,104005</v>
          </cell>
        </row>
        <row r="32">
          <cell r="D32" t="str">
            <v>106006,106001,106002,102008</v>
          </cell>
        </row>
        <row r="33">
          <cell r="D33" t="str">
            <v>110007,110008,110009</v>
          </cell>
        </row>
        <row r="34">
          <cell r="D34" t="str">
            <v>105002,105003,100005,102018</v>
          </cell>
        </row>
        <row r="35">
          <cell r="D35" t="str">
            <v>105001,105005,105008</v>
          </cell>
        </row>
        <row r="36">
          <cell r="D36" t="str">
            <v>104001,104004</v>
          </cell>
        </row>
        <row r="37">
          <cell r="D37" t="str">
            <v>101005,102004</v>
          </cell>
        </row>
        <row r="38">
          <cell r="D38" t="str">
            <v>100002,101005</v>
          </cell>
        </row>
        <row r="39">
          <cell r="D39" t="str">
            <v>103007,103008</v>
          </cell>
        </row>
        <row r="40">
          <cell r="D40" t="str">
            <v>100003,103006</v>
          </cell>
        </row>
        <row r="41">
          <cell r="D41" t="str">
            <v>100002,102007,102005</v>
          </cell>
        </row>
        <row r="42">
          <cell r="D42" t="str">
            <v>100001,101001</v>
          </cell>
        </row>
        <row r="43">
          <cell r="D43" t="str">
            <v>101004,102018</v>
          </cell>
        </row>
        <row r="44">
          <cell r="D44" t="str">
            <v>103002,103004</v>
          </cell>
        </row>
        <row r="45">
          <cell r="D45" t="str">
            <v>101033,101008</v>
          </cell>
        </row>
        <row r="46">
          <cell r="D46" t="str">
            <v>102001,102004</v>
          </cell>
        </row>
        <row r="47">
          <cell r="D47" t="str">
            <v>102018,102035</v>
          </cell>
        </row>
        <row r="48">
          <cell r="D48" t="str">
            <v>105007,105008</v>
          </cell>
        </row>
        <row r="49">
          <cell r="D49" t="str">
            <v>103008,103028,103005</v>
          </cell>
        </row>
        <row r="50">
          <cell r="D50" t="str">
            <v>104001,104010</v>
          </cell>
        </row>
        <row r="51">
          <cell r="D51" t="str">
            <v>106005,100002</v>
          </cell>
        </row>
        <row r="52">
          <cell r="D52" t="str">
            <v>105003,105001</v>
          </cell>
        </row>
        <row r="53">
          <cell r="D53" t="str">
            <v>105004,105007,100005</v>
          </cell>
        </row>
        <row r="54">
          <cell r="D54" t="str">
            <v>102004,102028</v>
          </cell>
        </row>
        <row r="55">
          <cell r="D55" t="str">
            <v>100004,104001</v>
          </cell>
        </row>
        <row r="56">
          <cell r="D56" t="str">
            <v>100006,110004</v>
          </cell>
        </row>
        <row r="57">
          <cell r="D57" t="str">
            <v>106003,106007,106008</v>
          </cell>
        </row>
        <row r="58">
          <cell r="D58" t="str">
            <v>103002,103016</v>
          </cell>
        </row>
        <row r="59">
          <cell r="D59" t="str">
            <v>103008,103017</v>
          </cell>
        </row>
        <row r="60">
          <cell r="D60" t="str">
            <v>100003,103014</v>
          </cell>
        </row>
        <row r="61">
          <cell r="D61" t="str">
            <v>100001,103014</v>
          </cell>
        </row>
        <row r="62">
          <cell r="D62" t="str">
            <v>102003,102010</v>
          </cell>
        </row>
        <row r="63">
          <cell r="D63" t="str">
            <v>103012,103025</v>
          </cell>
        </row>
        <row r="64">
          <cell r="D64" t="str">
            <v>101031,101026</v>
          </cell>
        </row>
        <row r="65">
          <cell r="D65" t="str">
            <v>103013,103031</v>
          </cell>
        </row>
        <row r="66">
          <cell r="D66" t="str">
            <v>101034,101001</v>
          </cell>
        </row>
        <row r="67">
          <cell r="D67" t="str">
            <v>101034,101023,101025,101027,101030</v>
          </cell>
        </row>
        <row r="68">
          <cell r="D68" t="str">
            <v>104008,104009,104003</v>
          </cell>
        </row>
        <row r="69">
          <cell r="D69" t="str">
            <v>101012,101019</v>
          </cell>
        </row>
        <row r="70">
          <cell r="D70" t="str">
            <v>101010,105005,102019</v>
          </cell>
        </row>
        <row r="71">
          <cell r="D71" t="str">
            <v>101038,100001</v>
          </cell>
        </row>
        <row r="72">
          <cell r="D72" t="str">
            <v>100001,101034</v>
          </cell>
        </row>
        <row r="73">
          <cell r="D73" t="str">
            <v>103008,101004</v>
          </cell>
        </row>
        <row r="74">
          <cell r="D74" t="str">
            <v>101033,101020,101036,101018,110002</v>
          </cell>
        </row>
        <row r="75">
          <cell r="D75" t="str">
            <v>103036,103037</v>
          </cell>
        </row>
        <row r="76">
          <cell r="D76" t="str">
            <v>103023,103018</v>
          </cell>
        </row>
        <row r="77">
          <cell r="D77" t="str">
            <v>102028,102015</v>
          </cell>
        </row>
        <row r="78">
          <cell r="D78" t="str">
            <v>104006,102004</v>
          </cell>
        </row>
        <row r="79">
          <cell r="D79" t="str">
            <v>102034,102025</v>
          </cell>
        </row>
        <row r="80">
          <cell r="D80" t="str">
            <v>101005,101009</v>
          </cell>
        </row>
        <row r="81">
          <cell r="D81" t="str">
            <v>101015,101010</v>
          </cell>
        </row>
        <row r="82">
          <cell r="D82" t="str">
            <v>101022,101024</v>
          </cell>
        </row>
        <row r="83">
          <cell r="D83" t="str">
            <v>101028,102020</v>
          </cell>
        </row>
        <row r="84">
          <cell r="D84" t="str">
            <v>102017,102026,102033</v>
          </cell>
        </row>
        <row r="85">
          <cell r="D85" t="str">
            <v>102024,102012</v>
          </cell>
        </row>
        <row r="86">
          <cell r="D86" t="str">
            <v>102027,102003</v>
          </cell>
        </row>
        <row r="87">
          <cell r="D87" t="str">
            <v>102037,105005</v>
          </cell>
        </row>
        <row r="88">
          <cell r="D88" t="str">
            <v>103015,103006</v>
          </cell>
        </row>
        <row r="89">
          <cell r="D89" t="str">
            <v>104007,100004</v>
          </cell>
        </row>
        <row r="90">
          <cell r="D90" t="str">
            <v>105006,102027</v>
          </cell>
        </row>
        <row r="91">
          <cell r="D91" t="str">
            <v>110001,100001</v>
          </cell>
        </row>
        <row r="92">
          <cell r="D92" t="str">
            <v>110001,101001</v>
          </cell>
        </row>
        <row r="93">
          <cell r="D93" t="str">
            <v>103027,103026,103038</v>
          </cell>
        </row>
        <row r="94">
          <cell r="D94" t="str">
            <v>103003,103020</v>
          </cell>
        </row>
        <row r="95">
          <cell r="D95" t="str">
            <v>104002,104003</v>
          </cell>
        </row>
        <row r="96">
          <cell r="D96" t="str">
            <v>101003,101011,102014</v>
          </cell>
        </row>
        <row r="97">
          <cell r="D97" t="str">
            <v>102011,102014</v>
          </cell>
        </row>
        <row r="98">
          <cell r="D98" t="str">
            <v>102005,101003</v>
          </cell>
        </row>
        <row r="99">
          <cell r="D99" t="str">
            <v>100002,103001,100006,110004,110005</v>
          </cell>
        </row>
        <row r="100">
          <cell r="D100" t="str">
            <v>102016,102009,102036</v>
          </cell>
        </row>
        <row r="101">
          <cell r="D101" t="str">
            <v>103007,103010</v>
          </cell>
        </row>
        <row r="102">
          <cell r="D102" t="str">
            <v>103021,103010,103035</v>
          </cell>
        </row>
        <row r="103">
          <cell r="D103" t="str">
            <v>103022,103035,103015</v>
          </cell>
        </row>
        <row r="104">
          <cell r="D104" t="str">
            <v>100002,110003</v>
          </cell>
        </row>
        <row r="105">
          <cell r="D105" t="str">
            <v>101005,110003</v>
          </cell>
        </row>
        <row r="106">
          <cell r="D106" t="str">
            <v>102018,102029,102031,102027,104003</v>
          </cell>
        </row>
        <row r="107">
          <cell r="D107" t="str">
            <v>110005,110010</v>
          </cell>
        </row>
        <row r="108">
          <cell r="D108" t="str">
            <v>105004,105009</v>
          </cell>
        </row>
        <row r="109">
          <cell r="D109" t="str">
            <v>102030,110012</v>
          </cell>
        </row>
        <row r="110">
          <cell r="D110" t="str">
            <v>103031,102039,105005</v>
          </cell>
        </row>
        <row r="111">
          <cell r="D111" t="str">
            <v>110004,104001,103002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tabSelected="1" topLeftCell="A64" workbookViewId="0">
      <selection activeCell="C98" sqref="C98"/>
    </sheetView>
  </sheetViews>
  <sheetFormatPr defaultRowHeight="14.25" x14ac:dyDescent="0.2"/>
  <cols>
    <col min="1" max="1" width="9.5" bestFit="1" customWidth="1"/>
    <col min="2" max="3" width="9.5" customWidth="1"/>
    <col min="4" max="7" width="8.75" customWidth="1"/>
    <col min="15" max="15" width="7.125" customWidth="1"/>
    <col min="16" max="16" width="6.625" customWidth="1"/>
    <col min="17" max="17" width="7.125" customWidth="1"/>
    <col min="18" max="19" width="4.5" customWidth="1"/>
    <col min="21" max="21" width="24" customWidth="1"/>
  </cols>
  <sheetData>
    <row r="1" spans="1:23" ht="57" customHeight="1" x14ac:dyDescent="0.2">
      <c r="A1" s="1" t="s">
        <v>0</v>
      </c>
      <c r="B1" s="9" t="s">
        <v>46</v>
      </c>
      <c r="C1" s="9" t="s">
        <v>12</v>
      </c>
      <c r="D1" s="6" t="s">
        <v>66</v>
      </c>
      <c r="E1" s="6" t="s">
        <v>70</v>
      </c>
      <c r="F1" s="6" t="s">
        <v>72</v>
      </c>
      <c r="G1" s="6" t="s">
        <v>74</v>
      </c>
      <c r="H1" s="6" t="s">
        <v>16</v>
      </c>
      <c r="I1" s="6" t="s">
        <v>18</v>
      </c>
      <c r="J1" s="6" t="s">
        <v>19</v>
      </c>
      <c r="K1" s="6" t="s">
        <v>229</v>
      </c>
      <c r="L1" s="6" t="s">
        <v>234</v>
      </c>
      <c r="M1" s="6" t="s">
        <v>128</v>
      </c>
      <c r="N1" s="6" t="s">
        <v>192</v>
      </c>
      <c r="O1" s="6" t="s">
        <v>206</v>
      </c>
      <c r="P1" s="6" t="s">
        <v>91</v>
      </c>
      <c r="Q1" s="6" t="s">
        <v>194</v>
      </c>
      <c r="R1" s="6" t="s">
        <v>194</v>
      </c>
      <c r="S1" s="6" t="s">
        <v>329</v>
      </c>
      <c r="T1" s="6" t="s">
        <v>239</v>
      </c>
      <c r="U1" s="6" t="s">
        <v>95</v>
      </c>
      <c r="V1" s="2" t="s">
        <v>4</v>
      </c>
      <c r="W1" s="2" t="s">
        <v>298</v>
      </c>
    </row>
    <row r="2" spans="1:23" x14ac:dyDescent="0.2">
      <c r="A2" s="3" t="s">
        <v>1</v>
      </c>
      <c r="B2" s="3" t="s">
        <v>8</v>
      </c>
      <c r="C2" s="3" t="s">
        <v>13</v>
      </c>
      <c r="D2" s="7" t="s">
        <v>67</v>
      </c>
      <c r="E2" s="7" t="s">
        <v>193</v>
      </c>
      <c r="F2" s="7" t="s">
        <v>73</v>
      </c>
      <c r="G2" s="7" t="s">
        <v>75</v>
      </c>
      <c r="H2" s="8" t="s">
        <v>17</v>
      </c>
      <c r="I2" s="7" t="s">
        <v>302</v>
      </c>
      <c r="J2" s="7" t="s">
        <v>303</v>
      </c>
      <c r="K2" s="7" t="s">
        <v>230</v>
      </c>
      <c r="L2" s="7" t="s">
        <v>235</v>
      </c>
      <c r="M2" s="7" t="s">
        <v>191</v>
      </c>
      <c r="N2" s="7" t="s">
        <v>238</v>
      </c>
      <c r="O2" s="7" t="s">
        <v>207</v>
      </c>
      <c r="P2" s="7" t="s">
        <v>92</v>
      </c>
      <c r="Q2" s="7" t="s">
        <v>331</v>
      </c>
      <c r="R2" s="7" t="s">
        <v>326</v>
      </c>
      <c r="S2" s="7" t="s">
        <v>328</v>
      </c>
      <c r="T2" s="7" t="s">
        <v>253</v>
      </c>
      <c r="U2" s="7" t="s">
        <v>96</v>
      </c>
      <c r="V2" s="4" t="s">
        <v>5</v>
      </c>
      <c r="W2" s="4" t="s">
        <v>299</v>
      </c>
    </row>
    <row r="3" spans="1:23" x14ac:dyDescent="0.2">
      <c r="A3" s="3" t="s">
        <v>205</v>
      </c>
      <c r="B3" s="3" t="s">
        <v>9</v>
      </c>
      <c r="C3" s="3" t="s">
        <v>14</v>
      </c>
      <c r="D3" s="7" t="s">
        <v>68</v>
      </c>
      <c r="E3" s="7" t="s">
        <v>71</v>
      </c>
      <c r="F3" s="7" t="s">
        <v>71</v>
      </c>
      <c r="G3" s="7" t="s">
        <v>76</v>
      </c>
      <c r="H3" s="7" t="s">
        <v>7</v>
      </c>
      <c r="I3" s="7" t="s">
        <v>7</v>
      </c>
      <c r="J3" s="7" t="s">
        <v>7</v>
      </c>
      <c r="K3" s="7" t="s">
        <v>231</v>
      </c>
      <c r="L3" s="7" t="s">
        <v>236</v>
      </c>
      <c r="M3" s="7" t="s">
        <v>89</v>
      </c>
      <c r="N3" s="7" t="s">
        <v>14</v>
      </c>
      <c r="O3" s="7" t="s">
        <v>208</v>
      </c>
      <c r="P3" s="7" t="s">
        <v>93</v>
      </c>
      <c r="Q3" s="7" t="s">
        <v>330</v>
      </c>
      <c r="R3" s="7" t="s">
        <v>327</v>
      </c>
      <c r="S3" s="7" t="s">
        <v>327</v>
      </c>
      <c r="T3" s="7" t="s">
        <v>240</v>
      </c>
      <c r="U3" s="7" t="s">
        <v>93</v>
      </c>
      <c r="V3" s="4" t="s">
        <v>2</v>
      </c>
      <c r="W3" s="4" t="s">
        <v>300</v>
      </c>
    </row>
    <row r="4" spans="1:23" x14ac:dyDescent="0.2">
      <c r="A4" s="3" t="s">
        <v>3</v>
      </c>
      <c r="B4" s="3" t="s">
        <v>10</v>
      </c>
      <c r="C4" s="3" t="s">
        <v>15</v>
      </c>
      <c r="D4" s="7" t="s">
        <v>69</v>
      </c>
      <c r="E4" s="7" t="s">
        <v>69</v>
      </c>
      <c r="F4" s="7" t="s">
        <v>69</v>
      </c>
      <c r="G4" s="7" t="s">
        <v>77</v>
      </c>
      <c r="H4" s="7" t="s">
        <v>6</v>
      </c>
      <c r="I4" s="7" t="s">
        <v>6</v>
      </c>
      <c r="J4" s="7" t="s">
        <v>6</v>
      </c>
      <c r="K4" s="7" t="s">
        <v>232</v>
      </c>
      <c r="L4" s="7" t="s">
        <v>237</v>
      </c>
      <c r="M4" s="7" t="s">
        <v>90</v>
      </c>
      <c r="N4" s="7" t="s">
        <v>10</v>
      </c>
      <c r="O4" s="7" t="s">
        <v>209</v>
      </c>
      <c r="P4" s="7" t="s">
        <v>94</v>
      </c>
      <c r="Q4" s="7" t="s">
        <v>94</v>
      </c>
      <c r="R4" s="7" t="s">
        <v>94</v>
      </c>
      <c r="S4" s="7" t="s">
        <v>94</v>
      </c>
      <c r="T4" s="7" t="s">
        <v>241</v>
      </c>
      <c r="U4" s="7" t="s">
        <v>97</v>
      </c>
      <c r="V4" s="4" t="s">
        <v>11</v>
      </c>
      <c r="W4" s="4" t="s">
        <v>6</v>
      </c>
    </row>
    <row r="5" spans="1:23" x14ac:dyDescent="0.2">
      <c r="A5" s="5">
        <v>100001</v>
      </c>
      <c r="B5" s="5" t="s">
        <v>55</v>
      </c>
      <c r="C5" s="5">
        <v>1</v>
      </c>
      <c r="D5" s="5">
        <v>80</v>
      </c>
      <c r="E5" s="5">
        <v>78</v>
      </c>
      <c r="F5" s="5">
        <v>77</v>
      </c>
      <c r="G5" s="5">
        <f>SUM(D5:F5)</f>
        <v>235</v>
      </c>
      <c r="H5" s="5">
        <v>1</v>
      </c>
      <c r="I5" s="5">
        <v>10</v>
      </c>
      <c r="J5" s="5">
        <v>17</v>
      </c>
      <c r="K5" s="5"/>
      <c r="L5" s="5"/>
      <c r="M5" s="5">
        <v>0</v>
      </c>
      <c r="N5" s="5">
        <v>100</v>
      </c>
      <c r="O5" s="5">
        <v>1</v>
      </c>
      <c r="P5" s="5" t="s">
        <v>332</v>
      </c>
      <c r="Q5" s="5"/>
      <c r="R5" s="5" t="s">
        <v>402</v>
      </c>
      <c r="S5" s="5"/>
      <c r="T5" s="5" t="s">
        <v>242</v>
      </c>
      <c r="U5" s="11" t="s">
        <v>99</v>
      </c>
      <c r="V5" s="12" t="s">
        <v>34</v>
      </c>
      <c r="W5">
        <f>COUNTIF([1]Sheet1!$D:$D, "*" &amp; A5 &amp; "*")</f>
        <v>6</v>
      </c>
    </row>
    <row r="6" spans="1:23" x14ac:dyDescent="0.2">
      <c r="A6" s="5">
        <v>100002</v>
      </c>
      <c r="B6" s="5" t="s">
        <v>59</v>
      </c>
      <c r="C6" s="5">
        <v>1</v>
      </c>
      <c r="D6" s="5">
        <v>98</v>
      </c>
      <c r="E6" s="5">
        <v>92</v>
      </c>
      <c r="F6" s="5">
        <v>81</v>
      </c>
      <c r="G6" s="5">
        <f>SUM(D6:F6)</f>
        <v>271</v>
      </c>
      <c r="H6" s="5">
        <v>2</v>
      </c>
      <c r="I6" s="5">
        <v>10</v>
      </c>
      <c r="J6" s="5">
        <v>17</v>
      </c>
      <c r="K6" s="5"/>
      <c r="L6" s="5"/>
      <c r="M6" s="5">
        <v>0</v>
      </c>
      <c r="N6" s="5">
        <v>100</v>
      </c>
      <c r="O6" s="5">
        <v>1</v>
      </c>
      <c r="P6" s="5" t="s">
        <v>332</v>
      </c>
      <c r="Q6" s="5"/>
      <c r="R6" s="5" t="s">
        <v>387</v>
      </c>
      <c r="S6" s="5"/>
      <c r="T6" s="5" t="s">
        <v>242</v>
      </c>
      <c r="U6" s="11" t="s">
        <v>99</v>
      </c>
      <c r="V6" s="12" t="s">
        <v>38</v>
      </c>
      <c r="W6">
        <f>COUNTIF([1]Sheet1!$D:$D, "*" &amp; A6 &amp; "*")</f>
        <v>6</v>
      </c>
    </row>
    <row r="7" spans="1:23" x14ac:dyDescent="0.2">
      <c r="A7" s="5">
        <v>100003</v>
      </c>
      <c r="B7" s="5" t="s">
        <v>170</v>
      </c>
      <c r="C7" s="5">
        <v>1</v>
      </c>
      <c r="D7" s="5">
        <v>79</v>
      </c>
      <c r="E7" s="5">
        <v>80</v>
      </c>
      <c r="F7" s="5">
        <v>70</v>
      </c>
      <c r="G7" s="5">
        <f>SUM(D7:F7)</f>
        <v>229</v>
      </c>
      <c r="H7" s="5">
        <v>3</v>
      </c>
      <c r="I7" s="5">
        <v>10</v>
      </c>
      <c r="J7" s="5">
        <v>17</v>
      </c>
      <c r="K7" s="5"/>
      <c r="L7" s="5"/>
      <c r="M7" s="5">
        <v>0</v>
      </c>
      <c r="N7" s="5">
        <v>100</v>
      </c>
      <c r="O7" s="5">
        <v>1</v>
      </c>
      <c r="P7" s="5" t="s">
        <v>332</v>
      </c>
      <c r="Q7" s="5"/>
      <c r="R7" s="5" t="s">
        <v>403</v>
      </c>
      <c r="S7" s="5"/>
      <c r="T7" s="5" t="s">
        <v>242</v>
      </c>
      <c r="U7" s="11" t="s">
        <v>99</v>
      </c>
      <c r="V7" s="12" t="s">
        <v>137</v>
      </c>
      <c r="W7">
        <f>COUNTIF([1]Sheet1!$D:$D, "*" &amp; A7 &amp; "*")</f>
        <v>3</v>
      </c>
    </row>
    <row r="8" spans="1:23" x14ac:dyDescent="0.2">
      <c r="A8" s="5">
        <v>100004</v>
      </c>
      <c r="B8" s="5" t="s">
        <v>199</v>
      </c>
      <c r="C8" s="5">
        <v>1</v>
      </c>
      <c r="D8" s="5">
        <v>85</v>
      </c>
      <c r="E8" s="5">
        <v>75</v>
      </c>
      <c r="F8" s="5">
        <v>87</v>
      </c>
      <c r="G8" s="5">
        <f>SUM(D8:F8)</f>
        <v>247</v>
      </c>
      <c r="H8" s="5">
        <v>4</v>
      </c>
      <c r="I8" s="5">
        <v>10</v>
      </c>
      <c r="J8" s="5">
        <v>17</v>
      </c>
      <c r="K8" s="5"/>
      <c r="L8" s="5"/>
      <c r="M8" s="5">
        <v>0</v>
      </c>
      <c r="N8" s="5">
        <v>0</v>
      </c>
      <c r="O8" s="5">
        <v>1</v>
      </c>
      <c r="P8" s="5" t="s">
        <v>332</v>
      </c>
      <c r="Q8" s="5"/>
      <c r="R8" s="5"/>
      <c r="S8" s="5"/>
      <c r="T8" s="5" t="s">
        <v>242</v>
      </c>
      <c r="U8" s="10" t="s">
        <v>99</v>
      </c>
      <c r="V8" s="5" t="s">
        <v>160</v>
      </c>
      <c r="W8">
        <f>COUNTIF([1]Sheet1!$D:$D, "*" &amp; A8 &amp; "*")</f>
        <v>2</v>
      </c>
    </row>
    <row r="9" spans="1:23" x14ac:dyDescent="0.2">
      <c r="A9" s="5">
        <v>100005</v>
      </c>
      <c r="B9" s="5" t="s">
        <v>256</v>
      </c>
      <c r="C9" s="5">
        <v>1</v>
      </c>
      <c r="D9" s="5">
        <v>69</v>
      </c>
      <c r="E9" s="5">
        <v>77</v>
      </c>
      <c r="F9" s="5">
        <v>59</v>
      </c>
      <c r="G9" s="5">
        <f>SUM(D9:F9)</f>
        <v>205</v>
      </c>
      <c r="H9" s="5">
        <v>5</v>
      </c>
      <c r="I9" s="5">
        <v>10</v>
      </c>
      <c r="J9" s="5">
        <v>17</v>
      </c>
      <c r="K9" s="5"/>
      <c r="L9" s="5"/>
      <c r="M9" s="5">
        <v>0</v>
      </c>
      <c r="N9" s="5">
        <v>0</v>
      </c>
      <c r="O9" s="5">
        <v>1</v>
      </c>
      <c r="P9" s="5" t="s">
        <v>332</v>
      </c>
      <c r="Q9" s="5"/>
      <c r="R9" s="5"/>
      <c r="S9" s="5"/>
      <c r="T9" s="5" t="s">
        <v>242</v>
      </c>
      <c r="U9" s="10" t="s">
        <v>99</v>
      </c>
      <c r="V9" s="5" t="s">
        <v>257</v>
      </c>
      <c r="W9">
        <f>COUNTIF([1]Sheet1!$D:$D, "*" &amp; A9 &amp; "*")</f>
        <v>2</v>
      </c>
    </row>
    <row r="10" spans="1:23" x14ac:dyDescent="0.2">
      <c r="A10" s="5">
        <v>100006</v>
      </c>
      <c r="B10" s="5" t="s">
        <v>211</v>
      </c>
      <c r="C10" s="5">
        <v>1</v>
      </c>
      <c r="D10" s="5">
        <v>86</v>
      </c>
      <c r="E10" s="5">
        <v>82</v>
      </c>
      <c r="F10" s="5">
        <v>73</v>
      </c>
      <c r="G10" s="5">
        <f>SUM(D10:F10)</f>
        <v>241</v>
      </c>
      <c r="H10" s="5">
        <v>6</v>
      </c>
      <c r="I10" s="5">
        <v>10</v>
      </c>
      <c r="J10" s="5">
        <v>17</v>
      </c>
      <c r="K10" s="5"/>
      <c r="L10" s="5"/>
      <c r="M10" s="5">
        <v>0</v>
      </c>
      <c r="N10" s="5">
        <v>0</v>
      </c>
      <c r="O10" s="5">
        <v>1</v>
      </c>
      <c r="P10" s="5" t="s">
        <v>332</v>
      </c>
      <c r="Q10" s="5"/>
      <c r="R10" s="5"/>
      <c r="S10" s="5"/>
      <c r="T10" s="5" t="s">
        <v>242</v>
      </c>
      <c r="U10" s="10" t="s">
        <v>99</v>
      </c>
      <c r="V10" s="5" t="s">
        <v>212</v>
      </c>
      <c r="W10">
        <f>COUNTIF([1]Sheet1!$D:$D, "*" &amp; A10 &amp; "*")</f>
        <v>2</v>
      </c>
    </row>
    <row r="11" spans="1:23" x14ac:dyDescent="0.2">
      <c r="A11" s="5">
        <v>101001</v>
      </c>
      <c r="B11" s="5" t="s">
        <v>47</v>
      </c>
      <c r="C11" s="5">
        <v>1</v>
      </c>
      <c r="D11" s="5">
        <v>91</v>
      </c>
      <c r="E11" s="5">
        <v>76</v>
      </c>
      <c r="F11" s="5">
        <v>96</v>
      </c>
      <c r="G11" s="5">
        <f>SUM(D11:F11)</f>
        <v>263</v>
      </c>
      <c r="H11" s="5">
        <v>1</v>
      </c>
      <c r="I11" s="5">
        <v>10</v>
      </c>
      <c r="J11" s="5">
        <v>17</v>
      </c>
      <c r="K11" s="5"/>
      <c r="L11" s="5"/>
      <c r="M11" s="5">
        <f>MAX(25, INT(POWER(2.2,G11/45)))</f>
        <v>100</v>
      </c>
      <c r="N11" s="5">
        <v>0</v>
      </c>
      <c r="O11" s="5">
        <v>1</v>
      </c>
      <c r="P11" s="5" t="s">
        <v>346</v>
      </c>
      <c r="Q11" s="5"/>
      <c r="R11" s="5" t="s">
        <v>319</v>
      </c>
      <c r="S11" s="5" t="s">
        <v>413</v>
      </c>
      <c r="T11" s="5" t="s">
        <v>243</v>
      </c>
      <c r="U11" s="10" t="s">
        <v>372</v>
      </c>
      <c r="V11" t="s">
        <v>21</v>
      </c>
      <c r="W11">
        <f>COUNTIF([1]Sheet1!$D:$D, "*" &amp; A11 &amp; "*")</f>
        <v>4</v>
      </c>
    </row>
    <row r="12" spans="1:23" x14ac:dyDescent="0.2">
      <c r="A12" s="5">
        <v>101002</v>
      </c>
      <c r="B12" s="5" t="s">
        <v>48</v>
      </c>
      <c r="C12" s="5">
        <v>1</v>
      </c>
      <c r="D12" s="5">
        <v>92</v>
      </c>
      <c r="E12" s="5">
        <v>48</v>
      </c>
      <c r="F12" s="5">
        <v>98</v>
      </c>
      <c r="G12" s="5">
        <f>SUM(D12:F12)</f>
        <v>238</v>
      </c>
      <c r="H12" s="5">
        <v>1</v>
      </c>
      <c r="I12" s="5">
        <v>10</v>
      </c>
      <c r="J12" s="5">
        <v>17</v>
      </c>
      <c r="K12" s="5"/>
      <c r="L12" s="5"/>
      <c r="M12" s="5">
        <f>MAX(25, INT(POWER(2.2,G12/45)))</f>
        <v>64</v>
      </c>
      <c r="N12" s="5">
        <v>0</v>
      </c>
      <c r="O12" s="5">
        <v>1</v>
      </c>
      <c r="P12" s="5" t="s">
        <v>336</v>
      </c>
      <c r="Q12" s="5"/>
      <c r="R12" s="5" t="s">
        <v>305</v>
      </c>
      <c r="S12" s="5"/>
      <c r="T12" s="5" t="s">
        <v>244</v>
      </c>
      <c r="U12" s="10" t="s">
        <v>99</v>
      </c>
      <c r="V12" t="s">
        <v>22</v>
      </c>
      <c r="W12">
        <f>COUNTIF([1]Sheet1!$D:$D, "*" &amp; A12 &amp; "*")</f>
        <v>4</v>
      </c>
    </row>
    <row r="13" spans="1:23" x14ac:dyDescent="0.2">
      <c r="A13" s="5">
        <v>101003</v>
      </c>
      <c r="B13" s="5" t="s">
        <v>57</v>
      </c>
      <c r="C13" s="5">
        <v>1</v>
      </c>
      <c r="D13" s="5">
        <v>92</v>
      </c>
      <c r="E13" s="5">
        <v>54</v>
      </c>
      <c r="F13" s="5">
        <v>97</v>
      </c>
      <c r="G13" s="5">
        <f>SUM(D13:F13)</f>
        <v>243</v>
      </c>
      <c r="H13" s="5">
        <v>1</v>
      </c>
      <c r="I13" s="5">
        <v>10</v>
      </c>
      <c r="J13" s="5">
        <v>17</v>
      </c>
      <c r="K13" s="5"/>
      <c r="L13" s="5"/>
      <c r="M13" s="5">
        <f>MAX(25, INT(POWER(2.2,G13/45)))</f>
        <v>70</v>
      </c>
      <c r="N13" s="5">
        <v>0</v>
      </c>
      <c r="O13" s="5">
        <v>1</v>
      </c>
      <c r="P13" s="5" t="s">
        <v>346</v>
      </c>
      <c r="Q13" s="5"/>
      <c r="R13" s="5" t="s">
        <v>376</v>
      </c>
      <c r="S13" s="5"/>
      <c r="T13" s="5" t="s">
        <v>244</v>
      </c>
      <c r="U13" s="10" t="s">
        <v>371</v>
      </c>
      <c r="V13" t="s">
        <v>36</v>
      </c>
      <c r="W13">
        <f>COUNTIF([1]Sheet1!$D:$D, "*" &amp; A13 &amp; "*")</f>
        <v>4</v>
      </c>
    </row>
    <row r="14" spans="1:23" x14ac:dyDescent="0.2">
      <c r="A14" s="5">
        <v>101004</v>
      </c>
      <c r="B14" s="5" t="s">
        <v>51</v>
      </c>
      <c r="C14" s="5">
        <v>1</v>
      </c>
      <c r="D14" s="5">
        <v>98</v>
      </c>
      <c r="E14" s="5">
        <v>100</v>
      </c>
      <c r="F14" s="5">
        <v>45</v>
      </c>
      <c r="G14" s="5">
        <f>SUM(D14:F14)</f>
        <v>243</v>
      </c>
      <c r="H14" s="5">
        <v>1</v>
      </c>
      <c r="I14" s="5">
        <v>10</v>
      </c>
      <c r="J14" s="5">
        <v>17</v>
      </c>
      <c r="K14" s="5">
        <v>18</v>
      </c>
      <c r="L14" s="5"/>
      <c r="M14" s="5">
        <f>MAX(25, INT(POWER(2.2,G14/45)))</f>
        <v>70</v>
      </c>
      <c r="N14" s="5">
        <v>0</v>
      </c>
      <c r="O14" s="5">
        <v>3</v>
      </c>
      <c r="P14" s="5" t="s">
        <v>339</v>
      </c>
      <c r="Q14" s="5"/>
      <c r="R14" s="5" t="s">
        <v>304</v>
      </c>
      <c r="S14" s="5" t="s">
        <v>416</v>
      </c>
      <c r="T14" s="5" t="s">
        <v>246</v>
      </c>
      <c r="U14" s="10" t="s">
        <v>369</v>
      </c>
      <c r="V14" t="s">
        <v>25</v>
      </c>
      <c r="W14">
        <f>COUNTIF([1]Sheet1!$D:$D, "*" &amp; A14 &amp; "*")</f>
        <v>6</v>
      </c>
    </row>
    <row r="15" spans="1:23" x14ac:dyDescent="0.2">
      <c r="A15" s="5">
        <v>101005</v>
      </c>
      <c r="B15" s="5" t="s">
        <v>58</v>
      </c>
      <c r="C15" s="5">
        <v>1</v>
      </c>
      <c r="D15" s="5">
        <v>97</v>
      </c>
      <c r="E15" s="5">
        <v>77</v>
      </c>
      <c r="F15" s="5">
        <v>97</v>
      </c>
      <c r="G15" s="5">
        <f>SUM(D15:F15)</f>
        <v>271</v>
      </c>
      <c r="H15" s="5">
        <v>1</v>
      </c>
      <c r="I15" s="5">
        <v>10</v>
      </c>
      <c r="J15" s="5">
        <v>17</v>
      </c>
      <c r="K15" s="5"/>
      <c r="L15" s="5"/>
      <c r="M15" s="5">
        <f>MAX(25, INT(POWER(2.2,G15/45)))</f>
        <v>115</v>
      </c>
      <c r="N15" s="5">
        <v>0</v>
      </c>
      <c r="O15" s="5">
        <v>1</v>
      </c>
      <c r="P15" s="5" t="s">
        <v>334</v>
      </c>
      <c r="Q15" s="5"/>
      <c r="R15" s="5" t="s">
        <v>306</v>
      </c>
      <c r="S15" s="5"/>
      <c r="T15" s="5" t="s">
        <v>244</v>
      </c>
      <c r="U15" s="10" t="s">
        <v>370</v>
      </c>
      <c r="V15" t="s">
        <v>37</v>
      </c>
      <c r="W15">
        <f>COUNTIF([1]Sheet1!$D:$D, "*" &amp; A15 &amp; "*")</f>
        <v>7</v>
      </c>
    </row>
    <row r="16" spans="1:23" x14ac:dyDescent="0.2">
      <c r="A16" s="5">
        <v>101006</v>
      </c>
      <c r="B16" s="5" t="s">
        <v>287</v>
      </c>
      <c r="C16" s="5">
        <v>1</v>
      </c>
      <c r="D16" s="5">
        <v>87</v>
      </c>
      <c r="E16" s="5">
        <v>93</v>
      </c>
      <c r="F16" s="5">
        <v>65</v>
      </c>
      <c r="G16" s="5">
        <f>SUM(D16:F16)</f>
        <v>245</v>
      </c>
      <c r="H16" s="5">
        <v>1</v>
      </c>
      <c r="I16" s="5">
        <v>10</v>
      </c>
      <c r="J16" s="5">
        <v>17</v>
      </c>
      <c r="K16" s="5">
        <v>15</v>
      </c>
      <c r="L16" s="5"/>
      <c r="M16" s="5">
        <f>MAX(25, INT(POWER(2.2,G16/45)))</f>
        <v>73</v>
      </c>
      <c r="N16" s="5">
        <v>0</v>
      </c>
      <c r="O16" s="5">
        <v>3</v>
      </c>
      <c r="P16" s="5" t="s">
        <v>339</v>
      </c>
      <c r="Q16" s="5"/>
      <c r="R16" s="5" t="s">
        <v>397</v>
      </c>
      <c r="S16" s="5" t="s">
        <v>400</v>
      </c>
      <c r="T16" s="5" t="s">
        <v>246</v>
      </c>
      <c r="U16" s="10" t="s">
        <v>227</v>
      </c>
      <c r="V16" t="s">
        <v>29</v>
      </c>
      <c r="W16">
        <f>COUNTIF([1]Sheet1!$D:$D, "*" &amp; A16 &amp; "*")</f>
        <v>1</v>
      </c>
    </row>
    <row r="17" spans="1:23" x14ac:dyDescent="0.2">
      <c r="A17" s="5">
        <v>101007</v>
      </c>
      <c r="B17" s="5" t="s">
        <v>293</v>
      </c>
      <c r="C17" s="5">
        <v>1</v>
      </c>
      <c r="D17" s="5">
        <v>84</v>
      </c>
      <c r="E17" s="5">
        <v>67</v>
      </c>
      <c r="F17" s="5">
        <v>91</v>
      </c>
      <c r="G17" s="5">
        <f>SUM(D17:F17)</f>
        <v>242</v>
      </c>
      <c r="H17" s="5">
        <v>1</v>
      </c>
      <c r="I17" s="5">
        <v>10</v>
      </c>
      <c r="J17" s="5">
        <v>17</v>
      </c>
      <c r="K17" s="5"/>
      <c r="L17" s="5"/>
      <c r="M17" s="5">
        <f>MAX(25, INT(POWER(2.2,G17/45)))</f>
        <v>69</v>
      </c>
      <c r="N17" s="5">
        <v>0</v>
      </c>
      <c r="O17" s="5">
        <v>1</v>
      </c>
      <c r="P17" s="5" t="s">
        <v>335</v>
      </c>
      <c r="Q17" s="5"/>
      <c r="R17" s="5" t="s">
        <v>307</v>
      </c>
      <c r="S17" s="5" t="s">
        <v>414</v>
      </c>
      <c r="T17" s="5" t="s">
        <v>244</v>
      </c>
      <c r="U17" s="10" t="s">
        <v>99</v>
      </c>
      <c r="V17" t="s">
        <v>33</v>
      </c>
      <c r="W17">
        <f>COUNTIF([1]Sheet1!$D:$D, "*" &amp; A17 &amp; "*")</f>
        <v>1</v>
      </c>
    </row>
    <row r="18" spans="1:23" x14ac:dyDescent="0.2">
      <c r="A18" s="5">
        <v>101008</v>
      </c>
      <c r="B18" s="5" t="s">
        <v>56</v>
      </c>
      <c r="C18" s="5">
        <v>1</v>
      </c>
      <c r="D18" s="5">
        <v>90</v>
      </c>
      <c r="E18" s="5">
        <v>64</v>
      </c>
      <c r="F18" s="5">
        <v>93</v>
      </c>
      <c r="G18" s="5">
        <f>SUM(D18:F18)</f>
        <v>247</v>
      </c>
      <c r="H18" s="5">
        <v>1</v>
      </c>
      <c r="I18" s="5">
        <v>10</v>
      </c>
      <c r="J18" s="5">
        <v>17</v>
      </c>
      <c r="K18" s="5">
        <v>22</v>
      </c>
      <c r="L18" s="5">
        <v>1.5</v>
      </c>
      <c r="M18" s="5">
        <f>MAX(25, INT(POWER(2.2,G18/45)))</f>
        <v>75</v>
      </c>
      <c r="N18" s="5">
        <v>0</v>
      </c>
      <c r="O18" s="5">
        <v>3</v>
      </c>
      <c r="P18" s="5" t="s">
        <v>342</v>
      </c>
      <c r="Q18" s="5"/>
      <c r="R18" s="5" t="s">
        <v>308</v>
      </c>
      <c r="S18" s="5" t="s">
        <v>377</v>
      </c>
      <c r="T18" s="5" t="s">
        <v>245</v>
      </c>
      <c r="U18" s="10" t="s">
        <v>374</v>
      </c>
      <c r="V18" t="s">
        <v>35</v>
      </c>
      <c r="W18">
        <f>COUNTIF([1]Sheet1!$D:$D, "*" &amp; A18 &amp; "*")</f>
        <v>3</v>
      </c>
    </row>
    <row r="19" spans="1:23" x14ac:dyDescent="0.2">
      <c r="A19" s="5">
        <v>101009</v>
      </c>
      <c r="B19" s="5" t="s">
        <v>49</v>
      </c>
      <c r="C19" s="5">
        <v>1</v>
      </c>
      <c r="D19" s="5">
        <v>63</v>
      </c>
      <c r="E19" s="5">
        <v>55</v>
      </c>
      <c r="F19" s="5">
        <v>82</v>
      </c>
      <c r="G19" s="5">
        <f>SUM(D19:F19)</f>
        <v>200</v>
      </c>
      <c r="H19" s="5">
        <v>1</v>
      </c>
      <c r="I19" s="5">
        <v>10</v>
      </c>
      <c r="J19" s="5">
        <v>17</v>
      </c>
      <c r="K19" s="5"/>
      <c r="L19" s="5"/>
      <c r="M19" s="5">
        <f>MAX(25, INT(POWER(2.2,G19/45)))</f>
        <v>33</v>
      </c>
      <c r="N19" s="5">
        <v>0</v>
      </c>
      <c r="O19" s="5">
        <v>1</v>
      </c>
      <c r="P19" s="5" t="s">
        <v>345</v>
      </c>
      <c r="Q19" s="5"/>
      <c r="R19" s="5" t="s">
        <v>396</v>
      </c>
      <c r="S19" s="5"/>
      <c r="T19" s="5" t="s">
        <v>353</v>
      </c>
      <c r="U19" s="10" t="s">
        <v>99</v>
      </c>
      <c r="V19" t="s">
        <v>23</v>
      </c>
      <c r="W19">
        <f>COUNTIF([1]Sheet1!$D:$D, "*" &amp; A19 &amp; "*")</f>
        <v>1</v>
      </c>
    </row>
    <row r="20" spans="1:23" x14ac:dyDescent="0.2">
      <c r="A20" s="5">
        <v>101010</v>
      </c>
      <c r="B20" s="5" t="s">
        <v>86</v>
      </c>
      <c r="C20" s="5">
        <v>1</v>
      </c>
      <c r="D20" s="5">
        <v>92</v>
      </c>
      <c r="E20" s="5">
        <v>90</v>
      </c>
      <c r="F20" s="5">
        <v>89</v>
      </c>
      <c r="G20" s="5">
        <f>SUM(D20:F20)</f>
        <v>271</v>
      </c>
      <c r="H20" s="5">
        <v>1</v>
      </c>
      <c r="I20" s="5">
        <v>10</v>
      </c>
      <c r="J20" s="5">
        <v>17</v>
      </c>
      <c r="K20" s="5"/>
      <c r="L20" s="5"/>
      <c r="M20" s="5">
        <f>MAX(25, INT(POWER(2.2,G20/45)))</f>
        <v>115</v>
      </c>
      <c r="N20" s="5">
        <v>0</v>
      </c>
      <c r="O20" s="5">
        <v>1</v>
      </c>
      <c r="P20" s="5" t="s">
        <v>334</v>
      </c>
      <c r="Q20" s="5"/>
      <c r="R20" s="5" t="s">
        <v>352</v>
      </c>
      <c r="S20" s="5"/>
      <c r="T20" s="5" t="s">
        <v>248</v>
      </c>
      <c r="U20" s="10" t="s">
        <v>99</v>
      </c>
      <c r="V20" t="s">
        <v>81</v>
      </c>
      <c r="W20">
        <f>COUNTIF([1]Sheet1!$D:$D, "*" &amp; A20 &amp; "*")</f>
        <v>3</v>
      </c>
    </row>
    <row r="21" spans="1:23" x14ac:dyDescent="0.2">
      <c r="A21" s="5">
        <v>101011</v>
      </c>
      <c r="B21" s="5" t="s">
        <v>62</v>
      </c>
      <c r="C21" s="5">
        <v>1</v>
      </c>
      <c r="D21" s="5">
        <v>80</v>
      </c>
      <c r="E21" s="5">
        <v>66</v>
      </c>
      <c r="F21" s="5">
        <v>85</v>
      </c>
      <c r="G21" s="5">
        <f>SUM(D21:F21)</f>
        <v>231</v>
      </c>
      <c r="H21" s="5">
        <v>1</v>
      </c>
      <c r="I21" s="5">
        <v>10</v>
      </c>
      <c r="J21" s="5">
        <v>17</v>
      </c>
      <c r="K21" s="5"/>
      <c r="L21" s="5"/>
      <c r="M21" s="5">
        <f>MAX(25, INT(POWER(2.2,G21/45)))</f>
        <v>57</v>
      </c>
      <c r="N21" s="5">
        <v>0</v>
      </c>
      <c r="O21" s="5">
        <v>1</v>
      </c>
      <c r="P21" s="5" t="s">
        <v>346</v>
      </c>
      <c r="Q21" s="5"/>
      <c r="R21" s="5" t="s">
        <v>351</v>
      </c>
      <c r="S21" s="5" t="s">
        <v>413</v>
      </c>
      <c r="T21" s="5" t="s">
        <v>244</v>
      </c>
      <c r="U21" s="10" t="s">
        <v>99</v>
      </c>
      <c r="V21" t="s">
        <v>42</v>
      </c>
      <c r="W21">
        <f>COUNTIF([1]Sheet1!$D:$D, "*" &amp; A21 &amp; "*")</f>
        <v>2</v>
      </c>
    </row>
    <row r="22" spans="1:23" x14ac:dyDescent="0.2">
      <c r="A22" s="5">
        <v>101012</v>
      </c>
      <c r="B22" s="5" t="s">
        <v>87</v>
      </c>
      <c r="C22" s="5">
        <v>1</v>
      </c>
      <c r="D22" s="5">
        <v>85</v>
      </c>
      <c r="E22" s="5">
        <v>98</v>
      </c>
      <c r="F22" s="5">
        <v>47</v>
      </c>
      <c r="G22" s="5">
        <f>SUM(D22:F22)</f>
        <v>230</v>
      </c>
      <c r="H22" s="5">
        <v>1</v>
      </c>
      <c r="I22" s="5">
        <v>10</v>
      </c>
      <c r="J22" s="5">
        <v>17</v>
      </c>
      <c r="K22" s="5">
        <v>15</v>
      </c>
      <c r="L22" s="5"/>
      <c r="M22" s="5">
        <f>MAX(25, INT(POWER(2.2,G22/45)))</f>
        <v>56</v>
      </c>
      <c r="N22" s="5">
        <v>0</v>
      </c>
      <c r="O22" s="5">
        <v>3</v>
      </c>
      <c r="P22" s="5" t="s">
        <v>339</v>
      </c>
      <c r="Q22" s="5"/>
      <c r="R22" s="5" t="s">
        <v>309</v>
      </c>
      <c r="S22" s="5" t="s">
        <v>397</v>
      </c>
      <c r="T22" s="5" t="s">
        <v>246</v>
      </c>
      <c r="U22" s="10" t="s">
        <v>221</v>
      </c>
      <c r="V22" t="s">
        <v>82</v>
      </c>
      <c r="W22">
        <f>COUNTIF([1]Sheet1!$D:$D, "*" &amp; A22 &amp; "*")</f>
        <v>2</v>
      </c>
    </row>
    <row r="23" spans="1:23" x14ac:dyDescent="0.2">
      <c r="A23" s="5">
        <v>101013</v>
      </c>
      <c r="B23" s="5" t="s">
        <v>88</v>
      </c>
      <c r="C23" s="5">
        <v>1</v>
      </c>
      <c r="D23" s="5">
        <v>82</v>
      </c>
      <c r="E23" s="5">
        <v>75</v>
      </c>
      <c r="F23" s="5">
        <v>83</v>
      </c>
      <c r="G23" s="5">
        <f>SUM(D23:F23)</f>
        <v>240</v>
      </c>
      <c r="H23" s="5">
        <v>1</v>
      </c>
      <c r="I23" s="5">
        <v>10</v>
      </c>
      <c r="J23" s="5">
        <v>17</v>
      </c>
      <c r="K23" s="5"/>
      <c r="L23" s="5"/>
      <c r="M23" s="5">
        <f>MAX(25, INT(POWER(2.2,G23/45)))</f>
        <v>67</v>
      </c>
      <c r="N23" s="5">
        <v>0</v>
      </c>
      <c r="O23" s="5">
        <v>1</v>
      </c>
      <c r="P23" s="5" t="s">
        <v>333</v>
      </c>
      <c r="Q23" s="5"/>
      <c r="R23" s="5" t="s">
        <v>383</v>
      </c>
      <c r="T23" s="5" t="s">
        <v>243</v>
      </c>
      <c r="U23" s="10" t="s">
        <v>99</v>
      </c>
      <c r="V23" t="s">
        <v>83</v>
      </c>
      <c r="W23">
        <f>COUNTIF([1]Sheet1!$D:$D, "*" &amp; A23 &amp; "*")</f>
        <v>1</v>
      </c>
    </row>
    <row r="24" spans="1:23" x14ac:dyDescent="0.2">
      <c r="A24" s="5">
        <v>101014</v>
      </c>
      <c r="B24" s="5" t="s">
        <v>117</v>
      </c>
      <c r="C24" s="5">
        <v>1</v>
      </c>
      <c r="D24" s="5">
        <v>65</v>
      </c>
      <c r="E24" s="5">
        <v>89</v>
      </c>
      <c r="F24" s="5">
        <v>46</v>
      </c>
      <c r="G24" s="5">
        <f>SUM(D24:F24)</f>
        <v>200</v>
      </c>
      <c r="H24" s="5">
        <v>1</v>
      </c>
      <c r="I24" s="5">
        <v>10</v>
      </c>
      <c r="J24" s="5">
        <v>17</v>
      </c>
      <c r="K24" s="5">
        <v>15</v>
      </c>
      <c r="L24" s="5"/>
      <c r="M24" s="5">
        <f>MAX(25, INT(POWER(2.2,G24/45)))</f>
        <v>33</v>
      </c>
      <c r="N24" s="5">
        <v>0</v>
      </c>
      <c r="O24" s="5">
        <v>3</v>
      </c>
      <c r="P24" s="5" t="s">
        <v>341</v>
      </c>
      <c r="Q24" s="5"/>
      <c r="R24" s="5"/>
      <c r="T24" s="5" t="s">
        <v>246</v>
      </c>
      <c r="U24" s="10" t="s">
        <v>366</v>
      </c>
      <c r="V24" t="s">
        <v>101</v>
      </c>
      <c r="W24">
        <f>COUNTIF([1]Sheet1!$D:$D, "*" &amp; A24 &amp; "*")</f>
        <v>1</v>
      </c>
    </row>
    <row r="25" spans="1:23" x14ac:dyDescent="0.2">
      <c r="A25" s="5">
        <v>101015</v>
      </c>
      <c r="B25" s="5" t="s">
        <v>283</v>
      </c>
      <c r="C25" s="5">
        <v>1</v>
      </c>
      <c r="D25" s="5">
        <v>64</v>
      </c>
      <c r="E25" s="5">
        <v>85</v>
      </c>
      <c r="F25" s="5">
        <v>52</v>
      </c>
      <c r="G25" s="5">
        <f>SUM(D25:F25)</f>
        <v>201</v>
      </c>
      <c r="H25" s="5">
        <v>1</v>
      </c>
      <c r="I25" s="5">
        <v>10</v>
      </c>
      <c r="J25" s="5">
        <v>17</v>
      </c>
      <c r="K25" s="5">
        <v>18</v>
      </c>
      <c r="L25" s="5"/>
      <c r="M25" s="5">
        <f>MAX(25, INT(POWER(2.2,G25/45)))</f>
        <v>33</v>
      </c>
      <c r="N25" s="5">
        <v>0</v>
      </c>
      <c r="O25" s="5">
        <v>3</v>
      </c>
      <c r="P25" s="5" t="s">
        <v>340</v>
      </c>
      <c r="Q25" s="5"/>
      <c r="R25" s="5"/>
      <c r="S25" s="5"/>
      <c r="T25" s="5" t="s">
        <v>251</v>
      </c>
      <c r="U25" s="10" t="s">
        <v>368</v>
      </c>
      <c r="V25" t="s">
        <v>103</v>
      </c>
      <c r="W25">
        <f>COUNTIF([1]Sheet1!$D:$D, "*" &amp; A25 &amp; "*")</f>
        <v>1</v>
      </c>
    </row>
    <row r="26" spans="1:23" x14ac:dyDescent="0.2">
      <c r="A26" s="5">
        <v>101016</v>
      </c>
      <c r="B26" s="5" t="s">
        <v>123</v>
      </c>
      <c r="C26" s="5">
        <v>1</v>
      </c>
      <c r="D26" s="5">
        <v>62</v>
      </c>
      <c r="E26" s="5">
        <v>80</v>
      </c>
      <c r="F26" s="5">
        <v>54</v>
      </c>
      <c r="G26" s="5">
        <f>SUM(D26:F26)</f>
        <v>196</v>
      </c>
      <c r="H26" s="5">
        <v>1</v>
      </c>
      <c r="I26" s="5">
        <v>10</v>
      </c>
      <c r="J26" s="5">
        <v>17</v>
      </c>
      <c r="K26" s="5">
        <v>35</v>
      </c>
      <c r="L26" s="5"/>
      <c r="M26" s="5">
        <f>MAX(25, INT(POWER(2.2,G26/45)))</f>
        <v>31</v>
      </c>
      <c r="N26" s="5">
        <v>0</v>
      </c>
      <c r="O26" s="5">
        <v>3</v>
      </c>
      <c r="P26" s="5" t="s">
        <v>347</v>
      </c>
      <c r="Q26" s="5"/>
      <c r="R26" t="s">
        <v>419</v>
      </c>
      <c r="S26" s="5"/>
      <c r="T26" s="5" t="s">
        <v>251</v>
      </c>
      <c r="U26" s="10" t="s">
        <v>367</v>
      </c>
      <c r="V26" t="s">
        <v>110</v>
      </c>
      <c r="W26">
        <f>COUNTIF([1]Sheet1!$D:$D, "*" &amp; A26 &amp; "*")</f>
        <v>1</v>
      </c>
    </row>
    <row r="27" spans="1:23" x14ac:dyDescent="0.2">
      <c r="A27" s="5">
        <v>101017</v>
      </c>
      <c r="B27" s="5" t="s">
        <v>284</v>
      </c>
      <c r="C27" s="5">
        <v>1</v>
      </c>
      <c r="D27" s="5">
        <v>68</v>
      </c>
      <c r="E27" s="5">
        <v>86</v>
      </c>
      <c r="F27" s="5">
        <v>42</v>
      </c>
      <c r="G27" s="5">
        <f>SUM(D27:F27)</f>
        <v>196</v>
      </c>
      <c r="H27" s="5">
        <v>1</v>
      </c>
      <c r="I27" s="5">
        <v>10</v>
      </c>
      <c r="J27" s="5">
        <v>17</v>
      </c>
      <c r="K27" s="5">
        <v>18</v>
      </c>
      <c r="L27" s="5"/>
      <c r="M27" s="5">
        <f>MAX(25, INT(POWER(2.2,G27/45)))</f>
        <v>31</v>
      </c>
      <c r="N27" s="5">
        <v>0</v>
      </c>
      <c r="O27" s="5">
        <v>3</v>
      </c>
      <c r="P27" s="5" t="s">
        <v>340</v>
      </c>
      <c r="Q27" s="5"/>
      <c r="R27" s="5" t="s">
        <v>362</v>
      </c>
      <c r="S27" s="5"/>
      <c r="T27" s="5" t="s">
        <v>251</v>
      </c>
      <c r="U27" s="10" t="s">
        <v>368</v>
      </c>
      <c r="V27" t="s">
        <v>113</v>
      </c>
      <c r="W27">
        <f>COUNTIF([1]Sheet1!$D:$D, "*" &amp; A27 &amp; "*")</f>
        <v>1</v>
      </c>
    </row>
    <row r="28" spans="1:23" x14ac:dyDescent="0.2">
      <c r="A28" s="5">
        <v>101018</v>
      </c>
      <c r="B28" s="5" t="s">
        <v>127</v>
      </c>
      <c r="C28" s="5">
        <v>1</v>
      </c>
      <c r="D28" s="5">
        <v>70</v>
      </c>
      <c r="E28" s="5">
        <v>88</v>
      </c>
      <c r="F28" s="5">
        <v>72</v>
      </c>
      <c r="G28" s="5">
        <f>SUM(D28:F28)</f>
        <v>230</v>
      </c>
      <c r="H28" s="5">
        <v>1</v>
      </c>
      <c r="I28" s="5">
        <v>10</v>
      </c>
      <c r="J28" s="5">
        <v>17</v>
      </c>
      <c r="K28" s="5">
        <v>15</v>
      </c>
      <c r="L28" s="5"/>
      <c r="M28" s="5">
        <f>MAX(25, INT(POWER(2.2,G28/45)))</f>
        <v>56</v>
      </c>
      <c r="N28" s="5">
        <v>0</v>
      </c>
      <c r="O28" s="5">
        <v>3</v>
      </c>
      <c r="P28" s="5" t="s">
        <v>339</v>
      </c>
      <c r="Q28" s="5"/>
      <c r="R28" s="5" t="s">
        <v>310</v>
      </c>
      <c r="S28" s="5"/>
      <c r="T28" s="5" t="s">
        <v>246</v>
      </c>
      <c r="U28" s="10" t="s">
        <v>98</v>
      </c>
      <c r="V28" t="s">
        <v>115</v>
      </c>
      <c r="W28">
        <f>COUNTIF([1]Sheet1!$D:$D, "*" &amp; A28 &amp; "*")</f>
        <v>1</v>
      </c>
    </row>
    <row r="29" spans="1:23" x14ac:dyDescent="0.2">
      <c r="A29" s="5">
        <v>101019</v>
      </c>
      <c r="B29" s="5" t="s">
        <v>281</v>
      </c>
      <c r="C29" s="5">
        <v>1</v>
      </c>
      <c r="D29" s="5">
        <v>68</v>
      </c>
      <c r="E29" s="5">
        <v>93</v>
      </c>
      <c r="F29" s="5">
        <v>60</v>
      </c>
      <c r="G29" s="5">
        <f>SUM(D29:F29)</f>
        <v>221</v>
      </c>
      <c r="H29" s="5">
        <v>1</v>
      </c>
      <c r="I29" s="5">
        <v>10</v>
      </c>
      <c r="J29" s="5">
        <v>17</v>
      </c>
      <c r="K29" s="5">
        <v>18</v>
      </c>
      <c r="L29" s="5"/>
      <c r="M29" s="5">
        <f>MAX(25, INT(POWER(2.2,G29/45)))</f>
        <v>48</v>
      </c>
      <c r="N29" s="5">
        <v>0</v>
      </c>
      <c r="O29" s="5">
        <v>3</v>
      </c>
      <c r="P29" s="5" t="s">
        <v>340</v>
      </c>
      <c r="Q29" s="5"/>
      <c r="R29" s="5" t="s">
        <v>386</v>
      </c>
      <c r="S29" s="5"/>
      <c r="T29" s="5" t="s">
        <v>251</v>
      </c>
      <c r="U29" s="10" t="s">
        <v>368</v>
      </c>
      <c r="V29" t="s">
        <v>116</v>
      </c>
      <c r="W29">
        <f>COUNTIF([1]Sheet1!$D:$D, "*" &amp; A29 &amp; "*")</f>
        <v>2</v>
      </c>
    </row>
    <row r="30" spans="1:23" x14ac:dyDescent="0.2">
      <c r="A30" s="5">
        <v>101020</v>
      </c>
      <c r="B30" s="5" t="s">
        <v>177</v>
      </c>
      <c r="C30" s="5">
        <v>1</v>
      </c>
      <c r="D30" s="5">
        <v>83</v>
      </c>
      <c r="E30" s="5">
        <v>94</v>
      </c>
      <c r="F30" s="5">
        <v>52</v>
      </c>
      <c r="G30" s="5">
        <f>SUM(D30:F30)</f>
        <v>229</v>
      </c>
      <c r="H30" s="5">
        <v>1</v>
      </c>
      <c r="I30" s="5">
        <v>10</v>
      </c>
      <c r="J30" s="5">
        <v>17</v>
      </c>
      <c r="K30" s="5">
        <v>15</v>
      </c>
      <c r="L30" s="5"/>
      <c r="M30" s="5">
        <f>MAX(25, INT(POWER(2.2,G30/45)))</f>
        <v>55</v>
      </c>
      <c r="N30" s="5">
        <v>0</v>
      </c>
      <c r="O30" s="5">
        <v>3</v>
      </c>
      <c r="P30" s="5" t="s">
        <v>339</v>
      </c>
      <c r="Q30" s="5"/>
      <c r="R30" s="13" t="s">
        <v>423</v>
      </c>
      <c r="S30" s="5"/>
      <c r="T30" s="5" t="s">
        <v>246</v>
      </c>
      <c r="U30" s="10" t="s">
        <v>227</v>
      </c>
      <c r="V30" t="s">
        <v>145</v>
      </c>
      <c r="W30">
        <f>COUNTIF([1]Sheet1!$D:$D, "*" &amp; A30 &amp; "*")</f>
        <v>1</v>
      </c>
    </row>
    <row r="31" spans="1:23" x14ac:dyDescent="0.2">
      <c r="A31" s="5">
        <v>101021</v>
      </c>
      <c r="B31" s="5" t="s">
        <v>179</v>
      </c>
      <c r="C31" s="5">
        <v>1</v>
      </c>
      <c r="D31" s="5">
        <v>27</v>
      </c>
      <c r="E31" s="5">
        <v>35</v>
      </c>
      <c r="F31" s="5">
        <v>41</v>
      </c>
      <c r="G31" s="5">
        <f>SUM(D31:F31)</f>
        <v>103</v>
      </c>
      <c r="H31" s="5">
        <v>1</v>
      </c>
      <c r="I31" s="5">
        <v>10</v>
      </c>
      <c r="J31" s="5">
        <v>17</v>
      </c>
      <c r="K31" s="5">
        <v>35</v>
      </c>
      <c r="L31" s="5"/>
      <c r="M31" s="5">
        <f>MAX(25, INT(POWER(2.2,G31/45)))</f>
        <v>25</v>
      </c>
      <c r="N31" s="5">
        <v>0</v>
      </c>
      <c r="O31" s="5">
        <v>3</v>
      </c>
      <c r="P31" s="5" t="s">
        <v>347</v>
      </c>
      <c r="Q31" s="5"/>
      <c r="R31" s="5" t="s">
        <v>391</v>
      </c>
      <c r="T31" s="5" t="s">
        <v>354</v>
      </c>
      <c r="U31" s="10" t="s">
        <v>367</v>
      </c>
      <c r="V31" s="5" t="s">
        <v>147</v>
      </c>
      <c r="W31">
        <f>COUNTIF([1]Sheet1!$D:$D, "*" &amp; A31 &amp; "*")</f>
        <v>1</v>
      </c>
    </row>
    <row r="32" spans="1:23" x14ac:dyDescent="0.2">
      <c r="A32" s="5">
        <v>102001</v>
      </c>
      <c r="B32" s="5" t="s">
        <v>65</v>
      </c>
      <c r="C32" s="5">
        <v>1</v>
      </c>
      <c r="D32" s="5">
        <v>72</v>
      </c>
      <c r="E32" s="5">
        <v>98</v>
      </c>
      <c r="F32" s="5">
        <v>43</v>
      </c>
      <c r="G32" s="5">
        <f>SUM(D32:F32)</f>
        <v>213</v>
      </c>
      <c r="H32" s="5">
        <v>2</v>
      </c>
      <c r="I32" s="5">
        <v>10</v>
      </c>
      <c r="J32" s="5">
        <v>17</v>
      </c>
      <c r="K32" s="5">
        <v>15</v>
      </c>
      <c r="L32" s="5"/>
      <c r="M32" s="5">
        <f>MAX(25, INT(POWER(2.2,G32/45)))</f>
        <v>41</v>
      </c>
      <c r="N32" s="5">
        <v>0</v>
      </c>
      <c r="O32" s="5">
        <v>3</v>
      </c>
      <c r="P32" s="5" t="s">
        <v>339</v>
      </c>
      <c r="Q32" s="5"/>
      <c r="R32" s="5" t="s">
        <v>320</v>
      </c>
      <c r="S32" s="5"/>
      <c r="T32" s="5" t="s">
        <v>246</v>
      </c>
      <c r="U32" s="10" t="s">
        <v>219</v>
      </c>
      <c r="V32" s="5" t="s">
        <v>45</v>
      </c>
      <c r="W32">
        <f>COUNTIF([1]Sheet1!$D:$D, "*" &amp; A32 &amp; "*")</f>
        <v>2</v>
      </c>
    </row>
    <row r="33" spans="1:23" x14ac:dyDescent="0.2">
      <c r="A33" s="5">
        <v>102002</v>
      </c>
      <c r="B33" s="5" t="s">
        <v>218</v>
      </c>
      <c r="C33" s="5">
        <v>1</v>
      </c>
      <c r="D33" s="5">
        <v>91</v>
      </c>
      <c r="E33" s="5">
        <v>63</v>
      </c>
      <c r="F33" s="5">
        <v>91</v>
      </c>
      <c r="G33" s="5">
        <f>SUM(D33:F33)</f>
        <v>245</v>
      </c>
      <c r="H33" s="5">
        <v>2</v>
      </c>
      <c r="I33" s="5">
        <v>10</v>
      </c>
      <c r="J33" s="5">
        <v>17</v>
      </c>
      <c r="K33" s="5"/>
      <c r="L33" s="5"/>
      <c r="M33" s="5">
        <f>MAX(25, INT(POWER(2.2,G33/45)))</f>
        <v>73</v>
      </c>
      <c r="N33" s="5">
        <v>0</v>
      </c>
      <c r="O33" s="5">
        <v>1</v>
      </c>
      <c r="P33" s="5" t="s">
        <v>334</v>
      </c>
      <c r="Q33" s="5"/>
      <c r="R33" s="5" t="s">
        <v>321</v>
      </c>
      <c r="S33" s="5"/>
      <c r="T33" s="5" t="s">
        <v>244</v>
      </c>
      <c r="U33" s="10" t="s">
        <v>99</v>
      </c>
      <c r="V33" t="s">
        <v>20</v>
      </c>
      <c r="W33">
        <f>COUNTIF([1]Sheet1!$D:$D, "*" &amp; A33 &amp; "*")</f>
        <v>2</v>
      </c>
    </row>
    <row r="34" spans="1:23" x14ac:dyDescent="0.2">
      <c r="A34" s="5">
        <v>102003</v>
      </c>
      <c r="B34" s="5" t="s">
        <v>124</v>
      </c>
      <c r="C34" s="5">
        <v>1</v>
      </c>
      <c r="D34" s="5">
        <v>67</v>
      </c>
      <c r="E34" s="5">
        <v>96</v>
      </c>
      <c r="F34" s="5">
        <v>47</v>
      </c>
      <c r="G34" s="5">
        <f>SUM(D34:F34)</f>
        <v>210</v>
      </c>
      <c r="H34" s="5">
        <v>2</v>
      </c>
      <c r="I34" s="5">
        <v>10</v>
      </c>
      <c r="J34" s="5">
        <v>17</v>
      </c>
      <c r="K34" s="5">
        <v>18</v>
      </c>
      <c r="L34" s="5"/>
      <c r="M34" s="5">
        <f>MAX(25, INT(POWER(2.2,G34/45)))</f>
        <v>39</v>
      </c>
      <c r="N34" s="5">
        <v>0</v>
      </c>
      <c r="O34" s="5">
        <v>3</v>
      </c>
      <c r="P34" s="5" t="s">
        <v>340</v>
      </c>
      <c r="Q34" s="5"/>
      <c r="R34" s="5" t="s">
        <v>322</v>
      </c>
      <c r="S34" s="5"/>
      <c r="T34" s="5" t="s">
        <v>251</v>
      </c>
      <c r="U34" s="10" t="s">
        <v>225</v>
      </c>
      <c r="V34" s="5" t="s">
        <v>111</v>
      </c>
      <c r="W34">
        <f>COUNTIF([1]Sheet1!$D:$D, "*" &amp; A34 &amp; "*")</f>
        <v>3</v>
      </c>
    </row>
    <row r="35" spans="1:23" x14ac:dyDescent="0.2">
      <c r="A35" s="5">
        <v>102004</v>
      </c>
      <c r="B35" s="5" t="s">
        <v>50</v>
      </c>
      <c r="C35" s="5">
        <v>1</v>
      </c>
      <c r="D35" s="5">
        <v>95</v>
      </c>
      <c r="E35" s="5">
        <v>78</v>
      </c>
      <c r="F35" s="5">
        <v>92</v>
      </c>
      <c r="G35" s="5">
        <f>SUM(D35:F35)</f>
        <v>265</v>
      </c>
      <c r="H35" s="5">
        <v>2</v>
      </c>
      <c r="I35" s="5">
        <v>10</v>
      </c>
      <c r="J35" s="5">
        <v>17</v>
      </c>
      <c r="K35" s="5"/>
      <c r="L35" s="5"/>
      <c r="M35" s="5">
        <f>MAX(25, INT(POWER(2.2,G35/45)))</f>
        <v>103</v>
      </c>
      <c r="N35" s="5">
        <v>0</v>
      </c>
      <c r="O35" s="5">
        <v>1</v>
      </c>
      <c r="P35" s="5" t="s">
        <v>346</v>
      </c>
      <c r="Q35" s="5"/>
      <c r="R35" s="5" t="s">
        <v>379</v>
      </c>
      <c r="S35" s="5"/>
      <c r="T35" s="5" t="s">
        <v>243</v>
      </c>
      <c r="U35" s="10" t="s">
        <v>99</v>
      </c>
      <c r="V35" t="s">
        <v>24</v>
      </c>
      <c r="W35">
        <f>COUNTIF([1]Sheet1!$D:$D, "*" &amp; A35 &amp; "*")</f>
        <v>5</v>
      </c>
    </row>
    <row r="36" spans="1:23" x14ac:dyDescent="0.2">
      <c r="A36" s="5">
        <v>102005</v>
      </c>
      <c r="B36" s="5" t="s">
        <v>292</v>
      </c>
      <c r="C36" s="5">
        <v>1</v>
      </c>
      <c r="D36" s="5">
        <v>65</v>
      </c>
      <c r="E36" s="5">
        <v>44</v>
      </c>
      <c r="F36" s="5">
        <v>96</v>
      </c>
      <c r="G36" s="5">
        <f>SUM(D36:F36)</f>
        <v>205</v>
      </c>
      <c r="H36" s="5">
        <v>2</v>
      </c>
      <c r="I36" s="5">
        <v>10</v>
      </c>
      <c r="J36" s="5">
        <v>17</v>
      </c>
      <c r="K36" s="5"/>
      <c r="L36" s="5"/>
      <c r="M36" s="5">
        <f>MAX(25, INT(POWER(2.2,G36/45)))</f>
        <v>36</v>
      </c>
      <c r="N36" s="5">
        <v>0</v>
      </c>
      <c r="O36" s="5">
        <v>1</v>
      </c>
      <c r="P36" s="5" t="s">
        <v>333</v>
      </c>
      <c r="Q36" s="5"/>
      <c r="R36" s="5" t="s">
        <v>399</v>
      </c>
      <c r="S36" s="5"/>
      <c r="T36" s="5" t="s">
        <v>355</v>
      </c>
      <c r="U36" s="10" t="s">
        <v>99</v>
      </c>
      <c r="V36" t="s">
        <v>40</v>
      </c>
      <c r="W36">
        <f>COUNTIF([1]Sheet1!$D:$D, "*" &amp; A36 &amp; "*")</f>
        <v>2</v>
      </c>
    </row>
    <row r="37" spans="1:23" x14ac:dyDescent="0.2">
      <c r="A37" s="5">
        <v>102006</v>
      </c>
      <c r="B37" s="5" t="s">
        <v>53</v>
      </c>
      <c r="C37" s="5">
        <v>1</v>
      </c>
      <c r="D37" s="5">
        <v>90</v>
      </c>
      <c r="E37" s="5">
        <v>68</v>
      </c>
      <c r="F37" s="5">
        <v>89</v>
      </c>
      <c r="G37" s="5">
        <f>SUM(D37:F37)</f>
        <v>247</v>
      </c>
      <c r="H37" s="5">
        <v>2</v>
      </c>
      <c r="I37" s="5">
        <v>10</v>
      </c>
      <c r="J37" s="5">
        <v>17</v>
      </c>
      <c r="K37" s="5">
        <v>22</v>
      </c>
      <c r="L37" s="5">
        <v>1.5</v>
      </c>
      <c r="M37" s="5">
        <f>MAX(25, INT(POWER(2.2,G37/45)))</f>
        <v>75</v>
      </c>
      <c r="N37" s="5">
        <v>0</v>
      </c>
      <c r="O37" s="5">
        <v>3</v>
      </c>
      <c r="P37" s="5" t="s">
        <v>342</v>
      </c>
      <c r="Q37" s="5"/>
      <c r="R37" s="5" t="s">
        <v>314</v>
      </c>
      <c r="S37" s="5"/>
      <c r="T37" s="5" t="s">
        <v>245</v>
      </c>
      <c r="U37" s="10" t="s">
        <v>224</v>
      </c>
      <c r="V37" t="s">
        <v>27</v>
      </c>
      <c r="W37">
        <f>COUNTIF([1]Sheet1!$D:$D, "*" &amp; A37 &amp; "*")</f>
        <v>2</v>
      </c>
    </row>
    <row r="38" spans="1:23" x14ac:dyDescent="0.2">
      <c r="A38" s="5">
        <v>102007</v>
      </c>
      <c r="B38" s="5" t="s">
        <v>61</v>
      </c>
      <c r="C38" s="5">
        <v>1</v>
      </c>
      <c r="D38" s="5">
        <v>59</v>
      </c>
      <c r="E38" s="5">
        <v>43</v>
      </c>
      <c r="F38" s="5">
        <v>95</v>
      </c>
      <c r="G38" s="5">
        <f>SUM(D38:F38)</f>
        <v>197</v>
      </c>
      <c r="H38" s="5">
        <v>2</v>
      </c>
      <c r="I38" s="5">
        <v>10</v>
      </c>
      <c r="J38" s="5">
        <v>17</v>
      </c>
      <c r="K38" s="5"/>
      <c r="L38" s="5"/>
      <c r="M38" s="5">
        <f>MAX(25, INT(POWER(2.2,G38/45)))</f>
        <v>31</v>
      </c>
      <c r="N38" s="5">
        <v>0</v>
      </c>
      <c r="O38" s="5">
        <v>1</v>
      </c>
      <c r="P38" s="5" t="s">
        <v>333</v>
      </c>
      <c r="Q38" s="5"/>
      <c r="R38" s="5" t="s">
        <v>315</v>
      </c>
      <c r="S38" s="5"/>
      <c r="T38" s="5" t="s">
        <v>243</v>
      </c>
      <c r="U38" s="10" t="s">
        <v>99</v>
      </c>
      <c r="V38" t="s">
        <v>41</v>
      </c>
      <c r="W38">
        <f>COUNTIF([1]Sheet1!$D:$D, "*" &amp; A38 &amp; "*")</f>
        <v>1</v>
      </c>
    </row>
    <row r="39" spans="1:23" x14ac:dyDescent="0.2">
      <c r="A39" s="5">
        <v>102008</v>
      </c>
      <c r="B39" s="5" t="s">
        <v>217</v>
      </c>
      <c r="C39" s="5">
        <v>1</v>
      </c>
      <c r="D39" s="5">
        <v>89</v>
      </c>
      <c r="E39" s="5">
        <v>75</v>
      </c>
      <c r="F39" s="5">
        <v>90</v>
      </c>
      <c r="G39" s="5">
        <f>SUM(D39:F39)</f>
        <v>254</v>
      </c>
      <c r="H39" s="5">
        <v>2</v>
      </c>
      <c r="I39" s="5">
        <v>10</v>
      </c>
      <c r="J39" s="5">
        <v>17</v>
      </c>
      <c r="K39" s="5"/>
      <c r="L39" s="5"/>
      <c r="M39" s="5">
        <f>MAX(25, INT(POWER(2.2,G39/45)))</f>
        <v>85</v>
      </c>
      <c r="N39" s="5">
        <v>0</v>
      </c>
      <c r="O39" s="5">
        <v>1</v>
      </c>
      <c r="P39" s="5" t="s">
        <v>334</v>
      </c>
      <c r="Q39" s="5"/>
      <c r="R39" s="5" t="s">
        <v>381</v>
      </c>
      <c r="S39" s="5"/>
      <c r="T39" s="5" t="s">
        <v>252</v>
      </c>
      <c r="U39" s="10" t="s">
        <v>100</v>
      </c>
      <c r="V39" t="s">
        <v>28</v>
      </c>
      <c r="W39">
        <f>COUNTIF([1]Sheet1!$D:$D, "*" &amp; A39 &amp; "*")</f>
        <v>3</v>
      </c>
    </row>
    <row r="40" spans="1:23" x14ac:dyDescent="0.2">
      <c r="A40" s="5">
        <v>102009</v>
      </c>
      <c r="B40" s="5" t="s">
        <v>78</v>
      </c>
      <c r="C40" s="5">
        <v>1</v>
      </c>
      <c r="D40" s="5">
        <v>90</v>
      </c>
      <c r="E40" s="5">
        <v>77</v>
      </c>
      <c r="F40" s="5">
        <v>91</v>
      </c>
      <c r="G40" s="5">
        <f>SUM(D40:F40)</f>
        <v>258</v>
      </c>
      <c r="H40" s="5">
        <v>2</v>
      </c>
      <c r="I40" s="5">
        <v>10</v>
      </c>
      <c r="J40" s="5">
        <v>17</v>
      </c>
      <c r="K40" s="5">
        <v>22</v>
      </c>
      <c r="L40" s="5">
        <v>1.5</v>
      </c>
      <c r="M40" s="5">
        <f>MAX(25, INT(POWER(2.2,G40/45)))</f>
        <v>91</v>
      </c>
      <c r="N40" s="5">
        <v>0</v>
      </c>
      <c r="O40" s="5">
        <v>3</v>
      </c>
      <c r="P40" s="5" t="s">
        <v>342</v>
      </c>
      <c r="Q40" s="5"/>
      <c r="R40" s="5" t="s">
        <v>348</v>
      </c>
      <c r="S40" s="5"/>
      <c r="T40" s="5" t="s">
        <v>245</v>
      </c>
      <c r="U40" s="10" t="s">
        <v>411</v>
      </c>
      <c r="V40" t="s">
        <v>30</v>
      </c>
      <c r="W40">
        <f>COUNTIF([1]Sheet1!$D:$D, "*" &amp; A40 &amp; "*")</f>
        <v>2</v>
      </c>
    </row>
    <row r="41" spans="1:23" x14ac:dyDescent="0.2">
      <c r="A41" s="5">
        <v>102010</v>
      </c>
      <c r="B41" s="5" t="s">
        <v>125</v>
      </c>
      <c r="C41" s="5">
        <v>1</v>
      </c>
      <c r="D41" s="5">
        <v>63</v>
      </c>
      <c r="E41" s="5">
        <v>92</v>
      </c>
      <c r="F41" s="5">
        <v>53</v>
      </c>
      <c r="G41" s="5">
        <f>SUM(D41:F41)</f>
        <v>208</v>
      </c>
      <c r="H41" s="5">
        <v>2</v>
      </c>
      <c r="I41" s="5">
        <v>10</v>
      </c>
      <c r="J41" s="5">
        <v>17</v>
      </c>
      <c r="K41" s="5">
        <v>15</v>
      </c>
      <c r="L41" s="5"/>
      <c r="M41" s="5">
        <f>MAX(25, INT(POWER(2.2,G41/45)))</f>
        <v>38</v>
      </c>
      <c r="N41" s="5">
        <v>0</v>
      </c>
      <c r="O41" s="5">
        <v>3</v>
      </c>
      <c r="P41" s="5" t="s">
        <v>339</v>
      </c>
      <c r="Q41" s="5"/>
      <c r="R41" s="5" t="s">
        <v>310</v>
      </c>
      <c r="S41" s="5" t="s">
        <v>407</v>
      </c>
      <c r="T41" s="5" t="s">
        <v>246</v>
      </c>
      <c r="U41" s="10" t="s">
        <v>226</v>
      </c>
      <c r="V41" s="5" t="s">
        <v>112</v>
      </c>
      <c r="W41">
        <f>COUNTIF([1]Sheet1!$D:$D, "*" &amp; A41 &amp; "*")</f>
        <v>2</v>
      </c>
    </row>
    <row r="42" spans="1:23" x14ac:dyDescent="0.2">
      <c r="A42" s="5">
        <v>102011</v>
      </c>
      <c r="B42" s="5" t="s">
        <v>52</v>
      </c>
      <c r="C42" s="5">
        <v>1</v>
      </c>
      <c r="D42" s="5">
        <v>80</v>
      </c>
      <c r="E42" s="5">
        <v>72</v>
      </c>
      <c r="F42" s="5">
        <v>75</v>
      </c>
      <c r="G42" s="5">
        <f>SUM(D42:F42)</f>
        <v>227</v>
      </c>
      <c r="H42" s="5">
        <v>2</v>
      </c>
      <c r="I42" s="5">
        <v>10</v>
      </c>
      <c r="J42" s="5">
        <v>17</v>
      </c>
      <c r="K42" s="5"/>
      <c r="L42" s="5"/>
      <c r="M42" s="5">
        <f>MAX(25, INT(POWER(2.2,G42/45)))</f>
        <v>53</v>
      </c>
      <c r="N42" s="5">
        <v>0</v>
      </c>
      <c r="O42" s="5">
        <v>1</v>
      </c>
      <c r="P42" s="5" t="s">
        <v>335</v>
      </c>
      <c r="Q42" s="5"/>
      <c r="R42" s="5" t="s">
        <v>313</v>
      </c>
      <c r="S42" s="5" t="s">
        <v>417</v>
      </c>
      <c r="T42" s="5" t="s">
        <v>243</v>
      </c>
      <c r="U42" s="10" t="s">
        <v>99</v>
      </c>
      <c r="V42" t="s">
        <v>26</v>
      </c>
      <c r="W42">
        <f>COUNTIF([1]Sheet1!$D:$D, "*" &amp; A42 &amp; "*")</f>
        <v>2</v>
      </c>
    </row>
    <row r="43" spans="1:23" x14ac:dyDescent="0.2">
      <c r="A43" s="5">
        <v>102012</v>
      </c>
      <c r="B43" s="5" t="s">
        <v>54</v>
      </c>
      <c r="C43" s="5">
        <v>1</v>
      </c>
      <c r="D43" s="5">
        <v>90</v>
      </c>
      <c r="E43" s="5">
        <v>62</v>
      </c>
      <c r="F43" s="5">
        <v>86</v>
      </c>
      <c r="G43" s="5">
        <f>SUM(D43:F43)</f>
        <v>238</v>
      </c>
      <c r="H43" s="5">
        <v>2</v>
      </c>
      <c r="I43" s="5">
        <v>10</v>
      </c>
      <c r="J43" s="5">
        <v>17</v>
      </c>
      <c r="K43" s="5"/>
      <c r="L43" s="5"/>
      <c r="M43" s="5">
        <f>MAX(25, INT(POWER(2.2,G43/45)))</f>
        <v>64</v>
      </c>
      <c r="N43" s="5">
        <v>0</v>
      </c>
      <c r="O43" s="5">
        <v>1</v>
      </c>
      <c r="P43" s="5" t="s">
        <v>336</v>
      </c>
      <c r="Q43" s="5"/>
      <c r="R43" s="5" t="s">
        <v>313</v>
      </c>
      <c r="S43" s="5"/>
      <c r="T43" s="5" t="s">
        <v>244</v>
      </c>
      <c r="U43" s="10" t="s">
        <v>99</v>
      </c>
      <c r="V43" t="s">
        <v>31</v>
      </c>
      <c r="W43">
        <f>COUNTIF([1]Sheet1!$D:$D, "*" &amp; A43 &amp; "*")</f>
        <v>2</v>
      </c>
    </row>
    <row r="44" spans="1:23" x14ac:dyDescent="0.2">
      <c r="A44" s="5">
        <v>102013</v>
      </c>
      <c r="B44" s="5" t="s">
        <v>60</v>
      </c>
      <c r="C44" s="5">
        <v>1</v>
      </c>
      <c r="D44" s="5">
        <v>82</v>
      </c>
      <c r="E44" s="5">
        <v>51</v>
      </c>
      <c r="F44" s="5">
        <v>83</v>
      </c>
      <c r="G44" s="5">
        <f>SUM(D44:F44)</f>
        <v>216</v>
      </c>
      <c r="H44" s="5">
        <v>2</v>
      </c>
      <c r="I44" s="5">
        <v>10</v>
      </c>
      <c r="J44" s="5">
        <v>17</v>
      </c>
      <c r="K44" s="5"/>
      <c r="L44" s="5"/>
      <c r="M44" s="5">
        <f>MAX(25, INT(POWER(2.2,G44/45)))</f>
        <v>44</v>
      </c>
      <c r="N44" s="5">
        <v>0</v>
      </c>
      <c r="O44" s="5">
        <v>1</v>
      </c>
      <c r="P44" s="5" t="s">
        <v>336</v>
      </c>
      <c r="Q44" s="5"/>
      <c r="R44" s="5" t="s">
        <v>317</v>
      </c>
      <c r="S44" s="5"/>
      <c r="T44" s="5" t="s">
        <v>244</v>
      </c>
      <c r="U44" s="10" t="s">
        <v>99</v>
      </c>
      <c r="V44" t="s">
        <v>39</v>
      </c>
      <c r="W44">
        <f>COUNTIF([1]Sheet1!$D:$D, "*" &amp; A44 &amp; "*")</f>
        <v>1</v>
      </c>
    </row>
    <row r="45" spans="1:23" x14ac:dyDescent="0.2">
      <c r="A45" s="5">
        <v>102014</v>
      </c>
      <c r="B45" s="5" t="s">
        <v>291</v>
      </c>
      <c r="C45" s="5">
        <v>1</v>
      </c>
      <c r="D45" s="5">
        <v>89</v>
      </c>
      <c r="E45" s="5">
        <v>74</v>
      </c>
      <c r="F45" s="5">
        <v>94</v>
      </c>
      <c r="G45" s="5">
        <f>SUM(D45:F45)</f>
        <v>257</v>
      </c>
      <c r="H45" s="5">
        <v>2</v>
      </c>
      <c r="I45" s="5">
        <v>10</v>
      </c>
      <c r="J45" s="5">
        <v>17</v>
      </c>
      <c r="K45" s="5"/>
      <c r="L45" s="5"/>
      <c r="M45" s="5">
        <f>MAX(25, INT(POWER(2.2,G45/45)))</f>
        <v>90</v>
      </c>
      <c r="N45" s="5">
        <v>0</v>
      </c>
      <c r="O45" s="5">
        <v>1</v>
      </c>
      <c r="P45" s="5" t="s">
        <v>336</v>
      </c>
      <c r="Q45" s="5"/>
      <c r="R45" s="5" t="s">
        <v>350</v>
      </c>
      <c r="S45" s="5"/>
      <c r="T45" s="5" t="s">
        <v>244</v>
      </c>
      <c r="U45" s="10" t="s">
        <v>99</v>
      </c>
      <c r="V45" t="s">
        <v>32</v>
      </c>
      <c r="W45">
        <f>COUNTIF([1]Sheet1!$D:$D, "*" &amp; A45 &amp; "*")</f>
        <v>2</v>
      </c>
    </row>
    <row r="46" spans="1:23" x14ac:dyDescent="0.2">
      <c r="A46" s="5">
        <v>102015</v>
      </c>
      <c r="B46" s="5" t="s">
        <v>63</v>
      </c>
      <c r="C46" s="5">
        <v>1</v>
      </c>
      <c r="D46" s="5">
        <v>80</v>
      </c>
      <c r="E46" s="5">
        <v>55</v>
      </c>
      <c r="F46" s="5">
        <v>84</v>
      </c>
      <c r="G46" s="5">
        <f>SUM(D46:F46)</f>
        <v>219</v>
      </c>
      <c r="H46" s="5">
        <v>2</v>
      </c>
      <c r="I46" s="5">
        <v>10</v>
      </c>
      <c r="J46" s="5">
        <v>17</v>
      </c>
      <c r="K46" s="5"/>
      <c r="L46" s="5"/>
      <c r="M46" s="5">
        <f>MAX(25, INT(POWER(2.2,G46/45)))</f>
        <v>46</v>
      </c>
      <c r="N46" s="5">
        <v>0</v>
      </c>
      <c r="O46" s="5">
        <v>1</v>
      </c>
      <c r="P46" s="5" t="s">
        <v>335</v>
      </c>
      <c r="Q46" s="5"/>
      <c r="R46" s="5" t="s">
        <v>363</v>
      </c>
      <c r="S46" s="5"/>
      <c r="T46" s="5" t="s">
        <v>244</v>
      </c>
      <c r="U46" s="10" t="s">
        <v>99</v>
      </c>
      <c r="V46" t="s">
        <v>43</v>
      </c>
      <c r="W46">
        <f>COUNTIF([1]Sheet1!$D:$D, "*" &amp; A46 &amp; "*")</f>
        <v>2</v>
      </c>
    </row>
    <row r="47" spans="1:23" x14ac:dyDescent="0.2">
      <c r="A47" s="5">
        <v>102016</v>
      </c>
      <c r="B47" s="5" t="s">
        <v>84</v>
      </c>
      <c r="C47" s="5">
        <v>1</v>
      </c>
      <c r="D47" s="5">
        <v>98</v>
      </c>
      <c r="E47" s="5">
        <v>98</v>
      </c>
      <c r="F47" s="5">
        <v>63</v>
      </c>
      <c r="G47" s="5">
        <f>SUM(D47:F47)</f>
        <v>259</v>
      </c>
      <c r="H47" s="5">
        <v>2</v>
      </c>
      <c r="I47" s="5">
        <v>10</v>
      </c>
      <c r="J47" s="5">
        <v>17</v>
      </c>
      <c r="K47" s="5">
        <v>15</v>
      </c>
      <c r="L47" s="5"/>
      <c r="M47" s="5">
        <f>MAX(25, INT(POWER(2.2,G47/45)))</f>
        <v>93</v>
      </c>
      <c r="N47" s="5">
        <v>0</v>
      </c>
      <c r="O47" s="5">
        <v>3</v>
      </c>
      <c r="P47" s="5" t="s">
        <v>339</v>
      </c>
      <c r="Q47" s="5"/>
      <c r="R47" s="5" t="s">
        <v>323</v>
      </c>
      <c r="S47" s="5"/>
      <c r="T47" s="5" t="s">
        <v>246</v>
      </c>
      <c r="U47" s="10" t="s">
        <v>222</v>
      </c>
      <c r="V47" s="5" t="s">
        <v>79</v>
      </c>
      <c r="W47">
        <f>COUNTIF([1]Sheet1!$D:$D, "*" &amp; A47 &amp; "*")</f>
        <v>1</v>
      </c>
    </row>
    <row r="48" spans="1:23" x14ac:dyDescent="0.2">
      <c r="A48" s="5">
        <v>102017</v>
      </c>
      <c r="B48" s="5" t="s">
        <v>118</v>
      </c>
      <c r="C48" s="5">
        <v>1</v>
      </c>
      <c r="D48" s="5">
        <v>63</v>
      </c>
      <c r="E48" s="5">
        <v>90</v>
      </c>
      <c r="F48" s="5">
        <v>54</v>
      </c>
      <c r="G48" s="5">
        <f>SUM(D48:F48)</f>
        <v>207</v>
      </c>
      <c r="H48" s="5">
        <v>2</v>
      </c>
      <c r="I48" s="5">
        <v>10</v>
      </c>
      <c r="J48" s="5">
        <v>17</v>
      </c>
      <c r="K48" s="5">
        <v>15</v>
      </c>
      <c r="L48" s="5"/>
      <c r="M48" s="5">
        <f>MAX(25, INT(POWER(2.2,G48/45)))</f>
        <v>37</v>
      </c>
      <c r="N48" s="5">
        <v>0</v>
      </c>
      <c r="O48" s="5">
        <v>3</v>
      </c>
      <c r="P48" s="5" t="s">
        <v>339</v>
      </c>
      <c r="Q48" s="5"/>
      <c r="R48" s="5" t="s">
        <v>388</v>
      </c>
      <c r="S48" s="5" t="s">
        <v>397</v>
      </c>
      <c r="T48" s="5" t="s">
        <v>246</v>
      </c>
      <c r="U48" s="10" t="s">
        <v>98</v>
      </c>
      <c r="V48" s="5" t="s">
        <v>102</v>
      </c>
      <c r="W48">
        <f>COUNTIF([1]Sheet1!$D:$D, "*" &amp; A48 &amp; "*")</f>
        <v>1</v>
      </c>
    </row>
    <row r="49" spans="1:23" x14ac:dyDescent="0.2">
      <c r="A49" s="5">
        <v>102018</v>
      </c>
      <c r="B49" s="5" t="s">
        <v>288</v>
      </c>
      <c r="C49" s="5">
        <v>1</v>
      </c>
      <c r="D49" s="5">
        <v>76</v>
      </c>
      <c r="E49" s="5">
        <v>64</v>
      </c>
      <c r="F49" s="5">
        <v>91</v>
      </c>
      <c r="G49" s="5">
        <f>SUM(D49:F49)</f>
        <v>231</v>
      </c>
      <c r="H49" s="5">
        <v>2</v>
      </c>
      <c r="I49" s="5">
        <v>10</v>
      </c>
      <c r="J49" s="5">
        <v>17</v>
      </c>
      <c r="K49" s="5">
        <v>22</v>
      </c>
      <c r="L49" s="5">
        <v>1.5</v>
      </c>
      <c r="M49" s="5">
        <f>MAX(25, INT(POWER(2.2,G49/45)))</f>
        <v>57</v>
      </c>
      <c r="N49" s="5">
        <v>0</v>
      </c>
      <c r="O49" s="5">
        <v>3</v>
      </c>
      <c r="P49" s="5" t="s">
        <v>342</v>
      </c>
      <c r="Q49" s="5"/>
      <c r="R49" t="s">
        <v>377</v>
      </c>
      <c r="T49" s="5" t="s">
        <v>245</v>
      </c>
      <c r="U49" s="10" t="s">
        <v>224</v>
      </c>
      <c r="V49" s="5" t="s">
        <v>106</v>
      </c>
      <c r="W49">
        <f>COUNTIF([1]Sheet1!$D:$D, "*" &amp; A49 &amp; "*")</f>
        <v>5</v>
      </c>
    </row>
    <row r="50" spans="1:23" x14ac:dyDescent="0.2">
      <c r="A50" s="5">
        <v>102019</v>
      </c>
      <c r="B50" s="5" t="s">
        <v>120</v>
      </c>
      <c r="C50" s="5">
        <v>1</v>
      </c>
      <c r="D50" s="5">
        <v>82</v>
      </c>
      <c r="E50" s="5">
        <v>70</v>
      </c>
      <c r="F50" s="5">
        <v>74</v>
      </c>
      <c r="G50" s="5">
        <f>SUM(D50:F50)</f>
        <v>226</v>
      </c>
      <c r="H50" s="5">
        <v>2</v>
      </c>
      <c r="I50" s="5">
        <v>10</v>
      </c>
      <c r="J50" s="5">
        <v>17</v>
      </c>
      <c r="K50" s="5"/>
      <c r="L50" s="5"/>
      <c r="M50" s="5">
        <f>MAX(25, INT(POWER(2.2,G50/45)))</f>
        <v>52</v>
      </c>
      <c r="N50" s="5">
        <v>0</v>
      </c>
      <c r="O50" s="5">
        <v>1</v>
      </c>
      <c r="P50" s="5" t="s">
        <v>335</v>
      </c>
      <c r="Q50" s="5"/>
      <c r="R50" s="5" t="s">
        <v>384</v>
      </c>
      <c r="T50" s="5" t="s">
        <v>357</v>
      </c>
      <c r="U50" s="10" t="s">
        <v>99</v>
      </c>
      <c r="V50" s="5" t="s">
        <v>107</v>
      </c>
      <c r="W50">
        <f>COUNTIF([1]Sheet1!$D:$D, "*" &amp; A50 &amp; "*")</f>
        <v>1</v>
      </c>
    </row>
    <row r="51" spans="1:23" x14ac:dyDescent="0.2">
      <c r="A51" s="5">
        <v>102020</v>
      </c>
      <c r="B51" s="5" t="s">
        <v>121</v>
      </c>
      <c r="C51" s="5">
        <v>1</v>
      </c>
      <c r="D51" s="5">
        <v>65</v>
      </c>
      <c r="E51" s="5">
        <v>84</v>
      </c>
      <c r="F51" s="5">
        <v>45</v>
      </c>
      <c r="G51" s="5">
        <f>SUM(D51:F51)</f>
        <v>194</v>
      </c>
      <c r="H51" s="5">
        <v>2</v>
      </c>
      <c r="I51" s="5">
        <v>10</v>
      </c>
      <c r="J51" s="5">
        <v>17</v>
      </c>
      <c r="K51" s="5">
        <v>15</v>
      </c>
      <c r="L51" s="5"/>
      <c r="M51" s="5">
        <f>MAX(25, INT(POWER(2.2,G51/45)))</f>
        <v>29</v>
      </c>
      <c r="N51" s="5">
        <v>0</v>
      </c>
      <c r="O51" s="5">
        <v>3</v>
      </c>
      <c r="P51" s="5" t="s">
        <v>341</v>
      </c>
      <c r="Q51" s="5"/>
      <c r="R51" s="5" t="s">
        <v>362</v>
      </c>
      <c r="S51" s="5" t="s">
        <v>407</v>
      </c>
      <c r="T51" s="5" t="s">
        <v>251</v>
      </c>
      <c r="U51" s="10" t="s">
        <v>366</v>
      </c>
      <c r="V51" s="5" t="s">
        <v>108</v>
      </c>
      <c r="W51">
        <f>COUNTIF([1]Sheet1!$D:$D, "*" &amp; A51 &amp; "*")</f>
        <v>1</v>
      </c>
    </row>
    <row r="52" spans="1:23" x14ac:dyDescent="0.2">
      <c r="A52" s="5">
        <v>102021</v>
      </c>
      <c r="B52" s="5" t="s">
        <v>122</v>
      </c>
      <c r="C52" s="5">
        <v>1</v>
      </c>
      <c r="D52" s="5">
        <v>74</v>
      </c>
      <c r="E52" s="5">
        <v>71</v>
      </c>
      <c r="F52" s="5">
        <v>73</v>
      </c>
      <c r="G52" s="5">
        <f>SUM(D52:F52)</f>
        <v>218</v>
      </c>
      <c r="H52" s="5">
        <v>2</v>
      </c>
      <c r="I52" s="5">
        <v>10</v>
      </c>
      <c r="J52" s="5">
        <v>17</v>
      </c>
      <c r="K52" s="5"/>
      <c r="L52" s="5"/>
      <c r="M52" s="5">
        <f>MAX(25, INT(POWER(2.2,G52/45)))</f>
        <v>45</v>
      </c>
      <c r="N52" s="5">
        <v>0</v>
      </c>
      <c r="O52" s="5">
        <v>1</v>
      </c>
      <c r="P52" s="5" t="s">
        <v>336</v>
      </c>
      <c r="Q52" s="5"/>
      <c r="R52" s="5" t="s">
        <v>311</v>
      </c>
      <c r="S52" s="5" t="s">
        <v>420</v>
      </c>
      <c r="T52" s="5" t="s">
        <v>243</v>
      </c>
      <c r="U52" s="10" t="s">
        <v>99</v>
      </c>
      <c r="V52" s="5" t="s">
        <v>109</v>
      </c>
      <c r="W52">
        <f>COUNTIF([1]Sheet1!$D:$D, "*" &amp; A52 &amp; "*")</f>
        <v>0</v>
      </c>
    </row>
    <row r="53" spans="1:23" x14ac:dyDescent="0.2">
      <c r="A53" s="5">
        <v>102022</v>
      </c>
      <c r="B53" s="5" t="s">
        <v>126</v>
      </c>
      <c r="C53" s="5">
        <v>1</v>
      </c>
      <c r="D53" s="5">
        <v>65</v>
      </c>
      <c r="E53" s="5">
        <v>88</v>
      </c>
      <c r="F53" s="5">
        <v>49</v>
      </c>
      <c r="G53" s="5">
        <f>SUM(D53:F53)</f>
        <v>202</v>
      </c>
      <c r="H53" s="5">
        <v>2</v>
      </c>
      <c r="I53" s="5">
        <v>10</v>
      </c>
      <c r="J53" s="5">
        <v>17</v>
      </c>
      <c r="K53" s="5">
        <v>13</v>
      </c>
      <c r="L53" s="5">
        <v>2.5</v>
      </c>
      <c r="M53" s="5">
        <f>MAX(25, INT(POWER(2.2,G53/45)))</f>
        <v>34</v>
      </c>
      <c r="N53" s="5">
        <v>0</v>
      </c>
      <c r="O53" s="5">
        <v>3</v>
      </c>
      <c r="P53" s="5" t="s">
        <v>337</v>
      </c>
      <c r="Q53" s="5"/>
      <c r="R53" s="5"/>
      <c r="S53" s="5"/>
      <c r="T53" s="5" t="s">
        <v>245</v>
      </c>
      <c r="U53" s="10" t="s">
        <v>398</v>
      </c>
      <c r="V53" s="5" t="s">
        <v>114</v>
      </c>
      <c r="W53">
        <f>COUNTIF([1]Sheet1!$D:$D, "*" &amp; A53 &amp; "*")</f>
        <v>1</v>
      </c>
    </row>
    <row r="54" spans="1:23" x14ac:dyDescent="0.2">
      <c r="A54" s="5">
        <v>103001</v>
      </c>
      <c r="B54" s="5" t="s">
        <v>168</v>
      </c>
      <c r="C54" s="5">
        <v>1</v>
      </c>
      <c r="D54" s="5">
        <v>96</v>
      </c>
      <c r="E54" s="5">
        <v>74</v>
      </c>
      <c r="F54" s="5">
        <v>93</v>
      </c>
      <c r="G54" s="5">
        <f>SUM(D54:F54)</f>
        <v>263</v>
      </c>
      <c r="H54" s="5">
        <v>3</v>
      </c>
      <c r="I54" s="5">
        <v>10</v>
      </c>
      <c r="J54" s="5">
        <v>17</v>
      </c>
      <c r="K54" s="5"/>
      <c r="L54" s="5"/>
      <c r="M54" s="5">
        <f>MAX(25, INT(POWER(2.2,G54/45)))</f>
        <v>100</v>
      </c>
      <c r="N54" s="5">
        <v>0</v>
      </c>
      <c r="O54" s="5">
        <v>1</v>
      </c>
      <c r="P54" s="5" t="s">
        <v>334</v>
      </c>
      <c r="Q54" s="5"/>
      <c r="R54" s="5" t="s">
        <v>318</v>
      </c>
      <c r="S54" s="5"/>
      <c r="T54" s="5" t="s">
        <v>244</v>
      </c>
      <c r="U54" s="10" t="s">
        <v>99</v>
      </c>
      <c r="V54" s="5" t="s">
        <v>134</v>
      </c>
      <c r="W54">
        <f>COUNTIF([1]Sheet1!$D:$D, "*" &amp; A54 &amp; "*")</f>
        <v>3</v>
      </c>
    </row>
    <row r="55" spans="1:23" x14ac:dyDescent="0.2">
      <c r="A55" s="5">
        <v>103002</v>
      </c>
      <c r="B55" s="5" t="s">
        <v>169</v>
      </c>
      <c r="C55" s="5">
        <v>1</v>
      </c>
      <c r="D55" s="5">
        <v>93</v>
      </c>
      <c r="E55" s="5">
        <v>77</v>
      </c>
      <c r="F55" s="5">
        <v>90</v>
      </c>
      <c r="G55" s="5">
        <f>SUM(D55:F55)</f>
        <v>260</v>
      </c>
      <c r="H55" s="5">
        <v>3</v>
      </c>
      <c r="I55" s="5">
        <v>10</v>
      </c>
      <c r="J55" s="5">
        <v>17</v>
      </c>
      <c r="K55" s="5"/>
      <c r="L55" s="5"/>
      <c r="M55" s="5">
        <f>MAX(25, INT(POWER(2.2,G55/45)))</f>
        <v>95</v>
      </c>
      <c r="N55" s="5">
        <v>0</v>
      </c>
      <c r="O55" s="5">
        <v>1</v>
      </c>
      <c r="P55" s="5" t="s">
        <v>336</v>
      </c>
      <c r="Q55" s="5"/>
      <c r="R55" s="5" t="s">
        <v>378</v>
      </c>
      <c r="S55" s="5"/>
      <c r="T55" s="5" t="s">
        <v>244</v>
      </c>
      <c r="U55" s="10" t="s">
        <v>99</v>
      </c>
      <c r="V55" s="5" t="s">
        <v>136</v>
      </c>
      <c r="W55">
        <f>COUNTIF([1]Sheet1!$D:$D, "*" &amp; A55 &amp; "*")</f>
        <v>6</v>
      </c>
    </row>
    <row r="56" spans="1:23" x14ac:dyDescent="0.2">
      <c r="A56" s="5">
        <v>103003</v>
      </c>
      <c r="B56" s="5" t="s">
        <v>285</v>
      </c>
      <c r="C56" s="5">
        <v>1</v>
      </c>
      <c r="D56" s="5">
        <v>93</v>
      </c>
      <c r="E56" s="5">
        <v>76</v>
      </c>
      <c r="F56" s="5">
        <v>94</v>
      </c>
      <c r="G56" s="5">
        <f>SUM(D56:F56)</f>
        <v>263</v>
      </c>
      <c r="H56" s="5">
        <v>3</v>
      </c>
      <c r="I56" s="5">
        <v>10</v>
      </c>
      <c r="J56" s="5">
        <v>17</v>
      </c>
      <c r="K56" s="5">
        <v>22</v>
      </c>
      <c r="L56" s="5">
        <v>1.5</v>
      </c>
      <c r="M56" s="5">
        <f>MAX(25, INT(POWER(2.2,G56/45)))</f>
        <v>100</v>
      </c>
      <c r="N56" s="5">
        <v>0</v>
      </c>
      <c r="O56" s="5">
        <v>3</v>
      </c>
      <c r="P56" s="5" t="s">
        <v>342</v>
      </c>
      <c r="Q56" s="5"/>
      <c r="R56" s="5" t="s">
        <v>316</v>
      </c>
      <c r="S56" s="5"/>
      <c r="T56" s="5" t="s">
        <v>245</v>
      </c>
      <c r="U56" s="10" t="s">
        <v>224</v>
      </c>
      <c r="V56" s="5" t="s">
        <v>139</v>
      </c>
      <c r="W56">
        <f>COUNTIF([1]Sheet1!$D:$D, "*" &amp; A56 &amp; "*")</f>
        <v>2</v>
      </c>
    </row>
    <row r="57" spans="1:23" x14ac:dyDescent="0.2">
      <c r="A57" s="5">
        <v>103004</v>
      </c>
      <c r="B57" s="5" t="s">
        <v>171</v>
      </c>
      <c r="C57" s="5">
        <v>1</v>
      </c>
      <c r="D57" s="5">
        <v>90</v>
      </c>
      <c r="E57" s="5">
        <v>65</v>
      </c>
      <c r="F57" s="5">
        <v>93</v>
      </c>
      <c r="G57" s="5">
        <f>SUM(D57:F57)</f>
        <v>248</v>
      </c>
      <c r="H57" s="5">
        <v>3</v>
      </c>
      <c r="I57" s="5">
        <v>10</v>
      </c>
      <c r="J57" s="5">
        <v>17</v>
      </c>
      <c r="K57" s="5">
        <v>22</v>
      </c>
      <c r="L57" s="5">
        <v>1.5</v>
      </c>
      <c r="M57" s="5">
        <f>MAX(25, INT(POWER(2.2,G57/45)))</f>
        <v>77</v>
      </c>
      <c r="N57" s="5">
        <v>0</v>
      </c>
      <c r="O57" s="5">
        <v>3</v>
      </c>
      <c r="P57" s="5" t="s">
        <v>342</v>
      </c>
      <c r="Q57" s="5"/>
      <c r="R57" s="5" t="s">
        <v>314</v>
      </c>
      <c r="S57" s="5"/>
      <c r="T57" s="5" t="s">
        <v>245</v>
      </c>
      <c r="U57" s="10" t="s">
        <v>224</v>
      </c>
      <c r="V57" s="5" t="s">
        <v>138</v>
      </c>
      <c r="W57">
        <f>COUNTIF([1]Sheet1!$D:$D, "*" &amp; A57 &amp; "*")</f>
        <v>2</v>
      </c>
    </row>
    <row r="58" spans="1:23" x14ac:dyDescent="0.2">
      <c r="A58" s="5">
        <v>103005</v>
      </c>
      <c r="B58" s="5" t="s">
        <v>172</v>
      </c>
      <c r="C58" s="5">
        <v>1</v>
      </c>
      <c r="D58" s="5">
        <v>80</v>
      </c>
      <c r="E58" s="5">
        <v>70</v>
      </c>
      <c r="F58" s="5">
        <v>83</v>
      </c>
      <c r="G58" s="5">
        <f>SUM(D58:F58)</f>
        <v>233</v>
      </c>
      <c r="H58" s="5">
        <v>3</v>
      </c>
      <c r="I58" s="5">
        <v>10</v>
      </c>
      <c r="J58" s="5">
        <v>17</v>
      </c>
      <c r="K58" s="5"/>
      <c r="L58" s="5"/>
      <c r="M58" s="5">
        <f>MAX(25, INT(POWER(2.2,G58/45)))</f>
        <v>59</v>
      </c>
      <c r="N58" s="5">
        <v>0</v>
      </c>
      <c r="O58" s="5">
        <v>1</v>
      </c>
      <c r="P58" s="5" t="s">
        <v>333</v>
      </c>
      <c r="Q58" s="5"/>
      <c r="R58" s="5" t="s">
        <v>364</v>
      </c>
      <c r="S58" s="5"/>
      <c r="T58" s="5" t="s">
        <v>243</v>
      </c>
      <c r="U58" s="10" t="s">
        <v>99</v>
      </c>
      <c r="V58" s="5" t="s">
        <v>140</v>
      </c>
      <c r="W58">
        <f>COUNTIF([1]Sheet1!$D:$D, "*" &amp; A58 &amp; "*")</f>
        <v>2</v>
      </c>
    </row>
    <row r="59" spans="1:23" x14ac:dyDescent="0.2">
      <c r="A59" s="5">
        <v>103006</v>
      </c>
      <c r="B59" s="5" t="s">
        <v>173</v>
      </c>
      <c r="C59" s="5">
        <v>1</v>
      </c>
      <c r="D59" s="5">
        <v>84</v>
      </c>
      <c r="E59" s="5">
        <v>51</v>
      </c>
      <c r="F59" s="5">
        <v>91</v>
      </c>
      <c r="G59" s="5">
        <f>SUM(D59:F59)</f>
        <v>226</v>
      </c>
      <c r="H59" s="5">
        <v>3</v>
      </c>
      <c r="I59" s="5">
        <v>10</v>
      </c>
      <c r="J59" s="5">
        <v>17</v>
      </c>
      <c r="K59" s="5"/>
      <c r="L59" s="5"/>
      <c r="M59" s="5">
        <f>MAX(25, INT(POWER(2.2,G59/45)))</f>
        <v>52</v>
      </c>
      <c r="N59" s="5">
        <v>0</v>
      </c>
      <c r="O59" s="5">
        <v>1</v>
      </c>
      <c r="P59" s="5" t="s">
        <v>336</v>
      </c>
      <c r="Q59" s="5"/>
      <c r="R59" s="5" t="s">
        <v>385</v>
      </c>
      <c r="S59" s="5"/>
      <c r="T59" s="5" t="s">
        <v>247</v>
      </c>
      <c r="U59" s="10" t="s">
        <v>99</v>
      </c>
      <c r="V59" s="5" t="s">
        <v>141</v>
      </c>
      <c r="W59">
        <f>COUNTIF([1]Sheet1!$D:$D, "*" &amp; A59 &amp; "*")</f>
        <v>3</v>
      </c>
    </row>
    <row r="60" spans="1:23" x14ac:dyDescent="0.2">
      <c r="A60" s="5">
        <v>103007</v>
      </c>
      <c r="B60" s="5" t="s">
        <v>174</v>
      </c>
      <c r="C60" s="5">
        <v>1</v>
      </c>
      <c r="D60" s="5">
        <v>85</v>
      </c>
      <c r="E60" s="5">
        <v>92</v>
      </c>
      <c r="F60" s="5">
        <v>61</v>
      </c>
      <c r="G60" s="5">
        <f>SUM(D60:F60)</f>
        <v>238</v>
      </c>
      <c r="H60" s="5">
        <v>3</v>
      </c>
      <c r="I60" s="5">
        <v>10</v>
      </c>
      <c r="J60" s="5">
        <v>17</v>
      </c>
      <c r="K60" s="5">
        <v>18</v>
      </c>
      <c r="L60" s="5"/>
      <c r="M60" s="5">
        <f>MAX(25, INT(POWER(2.2,G60/45)))</f>
        <v>64</v>
      </c>
      <c r="N60" s="5">
        <v>0</v>
      </c>
      <c r="O60" s="5">
        <v>3</v>
      </c>
      <c r="P60" s="5" t="s">
        <v>340</v>
      </c>
      <c r="Q60" s="5"/>
      <c r="R60" s="5" t="s">
        <v>317</v>
      </c>
      <c r="S60" s="5" t="s">
        <v>401</v>
      </c>
      <c r="T60" s="5" t="s">
        <v>251</v>
      </c>
      <c r="U60" s="10" t="s">
        <v>368</v>
      </c>
      <c r="V60" s="5" t="s">
        <v>142</v>
      </c>
      <c r="W60">
        <f>COUNTIF([1]Sheet1!$D:$D, "*" &amp; A60 &amp; "*")</f>
        <v>2</v>
      </c>
    </row>
    <row r="61" spans="1:23" x14ac:dyDescent="0.2">
      <c r="A61" s="5">
        <v>103008</v>
      </c>
      <c r="B61" s="5" t="s">
        <v>175</v>
      </c>
      <c r="C61" s="5">
        <v>1</v>
      </c>
      <c r="D61" s="5">
        <v>96</v>
      </c>
      <c r="E61" s="5">
        <v>96</v>
      </c>
      <c r="F61" s="5">
        <v>71</v>
      </c>
      <c r="G61" s="5">
        <f>SUM(D61:F61)</f>
        <v>263</v>
      </c>
      <c r="H61" s="5">
        <v>3</v>
      </c>
      <c r="I61" s="5">
        <v>10</v>
      </c>
      <c r="J61" s="5">
        <v>17</v>
      </c>
      <c r="K61" s="5">
        <v>15</v>
      </c>
      <c r="L61" s="5"/>
      <c r="M61" s="5">
        <f>MAX(25, INT(POWER(2.2,G61/45)))</f>
        <v>100</v>
      </c>
      <c r="N61" s="5">
        <v>0</v>
      </c>
      <c r="O61" s="5">
        <v>3</v>
      </c>
      <c r="P61" s="5" t="s">
        <v>339</v>
      </c>
      <c r="Q61" s="5"/>
      <c r="R61" s="5" t="s">
        <v>324</v>
      </c>
      <c r="S61" s="5" t="s">
        <v>415</v>
      </c>
      <c r="T61" s="5" t="s">
        <v>246</v>
      </c>
      <c r="U61" s="10" t="s">
        <v>220</v>
      </c>
      <c r="V61" s="5" t="s">
        <v>143</v>
      </c>
      <c r="W61">
        <f>COUNTIF([1]Sheet1!$D:$D, "*" &amp; A61 &amp; "*")</f>
        <v>6</v>
      </c>
    </row>
    <row r="62" spans="1:23" x14ac:dyDescent="0.2">
      <c r="A62" s="5">
        <v>103009</v>
      </c>
      <c r="B62" s="5" t="s">
        <v>178</v>
      </c>
      <c r="C62" s="5">
        <v>1</v>
      </c>
      <c r="D62" s="5">
        <v>77</v>
      </c>
      <c r="E62" s="5">
        <v>57</v>
      </c>
      <c r="F62" s="5">
        <v>84</v>
      </c>
      <c r="G62" s="5">
        <f>SUM(D62:F62)</f>
        <v>218</v>
      </c>
      <c r="H62" s="5">
        <v>3</v>
      </c>
      <c r="I62" s="5">
        <v>10</v>
      </c>
      <c r="J62" s="5">
        <v>17</v>
      </c>
      <c r="K62" s="5"/>
      <c r="L62" s="5"/>
      <c r="M62" s="5">
        <f>MAX(25, INT(POWER(2.2,G62/45)))</f>
        <v>45</v>
      </c>
      <c r="N62" s="5">
        <v>0</v>
      </c>
      <c r="O62" s="5">
        <v>1</v>
      </c>
      <c r="P62" s="5" t="s">
        <v>335</v>
      </c>
      <c r="Q62" s="5"/>
      <c r="R62" s="5"/>
      <c r="S62" s="5"/>
      <c r="T62" s="5" t="s">
        <v>244</v>
      </c>
      <c r="U62" s="10" t="s">
        <v>99</v>
      </c>
      <c r="V62" s="5" t="s">
        <v>146</v>
      </c>
      <c r="W62">
        <f>COUNTIF([1]Sheet1!$D:$D, "*" &amp; A62 &amp; "*")</f>
        <v>1</v>
      </c>
    </row>
    <row r="63" spans="1:23" x14ac:dyDescent="0.2">
      <c r="A63" s="5">
        <v>103010</v>
      </c>
      <c r="B63" s="5" t="s">
        <v>294</v>
      </c>
      <c r="C63" s="5">
        <v>1</v>
      </c>
      <c r="D63" s="5">
        <v>92</v>
      </c>
      <c r="E63" s="5">
        <v>91</v>
      </c>
      <c r="F63" s="5">
        <v>80</v>
      </c>
      <c r="G63" s="5">
        <f>SUM(D63:F63)</f>
        <v>263</v>
      </c>
      <c r="H63" s="5">
        <v>3</v>
      </c>
      <c r="I63" s="5">
        <v>10</v>
      </c>
      <c r="J63" s="5">
        <v>17</v>
      </c>
      <c r="K63" s="5"/>
      <c r="L63" s="5"/>
      <c r="M63" s="5">
        <f>MAX(25, INT(POWER(2.2,G63/45)))</f>
        <v>100</v>
      </c>
      <c r="N63" s="5">
        <v>0</v>
      </c>
      <c r="O63" s="5">
        <v>1</v>
      </c>
      <c r="P63" s="5" t="s">
        <v>346</v>
      </c>
      <c r="Q63" s="5"/>
      <c r="R63" s="5" t="s">
        <v>325</v>
      </c>
      <c r="S63" s="5" t="s">
        <v>412</v>
      </c>
      <c r="T63" s="5" t="s">
        <v>249</v>
      </c>
      <c r="U63" s="10" t="s">
        <v>99</v>
      </c>
      <c r="V63" s="5" t="s">
        <v>148</v>
      </c>
      <c r="W63">
        <f>COUNTIF([1]Sheet1!$D:$D, "*" &amp; A63 &amp; "*")</f>
        <v>3</v>
      </c>
    </row>
    <row r="64" spans="1:23" x14ac:dyDescent="0.2">
      <c r="A64" s="5">
        <v>103011</v>
      </c>
      <c r="B64" s="5" t="s">
        <v>180</v>
      </c>
      <c r="C64" s="5">
        <v>1</v>
      </c>
      <c r="D64" s="5">
        <v>96</v>
      </c>
      <c r="E64" s="5">
        <v>94</v>
      </c>
      <c r="F64" s="5">
        <v>69</v>
      </c>
      <c r="G64" s="5">
        <f>SUM(D64:F64)</f>
        <v>259</v>
      </c>
      <c r="H64" s="5">
        <v>3</v>
      </c>
      <c r="I64" s="5">
        <v>10</v>
      </c>
      <c r="J64" s="5">
        <v>17</v>
      </c>
      <c r="K64" s="5">
        <v>15</v>
      </c>
      <c r="L64" s="5"/>
      <c r="M64" s="5">
        <f>MAX(25, INT(POWER(2.2,G64/45)))</f>
        <v>93</v>
      </c>
      <c r="N64" s="5">
        <v>0</v>
      </c>
      <c r="O64" s="5">
        <v>3</v>
      </c>
      <c r="P64" s="5" t="s">
        <v>339</v>
      </c>
      <c r="Q64" s="5"/>
      <c r="R64" s="5" t="s">
        <v>324</v>
      </c>
      <c r="S64" s="5"/>
      <c r="T64" s="5" t="s">
        <v>246</v>
      </c>
      <c r="U64" s="10" t="s">
        <v>228</v>
      </c>
      <c r="V64" s="5" t="s">
        <v>149</v>
      </c>
      <c r="W64">
        <f>COUNTIF([1]Sheet1!$D:$D, "*" &amp; A64 &amp; "*")</f>
        <v>2</v>
      </c>
    </row>
    <row r="65" spans="1:23" x14ac:dyDescent="0.2">
      <c r="A65" s="5">
        <v>103012</v>
      </c>
      <c r="B65" s="5" t="s">
        <v>282</v>
      </c>
      <c r="C65" s="5">
        <v>1</v>
      </c>
      <c r="D65" s="5">
        <v>65</v>
      </c>
      <c r="E65" s="5">
        <v>89</v>
      </c>
      <c r="F65" s="5">
        <v>41</v>
      </c>
      <c r="G65" s="5">
        <f>SUM(D65:F65)</f>
        <v>195</v>
      </c>
      <c r="H65" s="5">
        <v>3</v>
      </c>
      <c r="I65" s="5">
        <v>10</v>
      </c>
      <c r="J65" s="5">
        <v>17</v>
      </c>
      <c r="K65" s="5">
        <v>18</v>
      </c>
      <c r="L65" s="5"/>
      <c r="M65" s="5">
        <f>MAX(25, INT(POWER(2.2,G65/45)))</f>
        <v>30</v>
      </c>
      <c r="N65" s="5">
        <v>0</v>
      </c>
      <c r="O65" s="5">
        <v>3</v>
      </c>
      <c r="P65" s="5" t="s">
        <v>340</v>
      </c>
      <c r="Q65" s="5"/>
      <c r="R65" s="5"/>
      <c r="S65" s="5"/>
      <c r="T65" s="5" t="s">
        <v>251</v>
      </c>
      <c r="U65" s="10" t="s">
        <v>368</v>
      </c>
      <c r="V65" s="5" t="s">
        <v>150</v>
      </c>
      <c r="W65">
        <f>COUNTIF([1]Sheet1!$D:$D, "*" &amp; A65 &amp; "*")</f>
        <v>1</v>
      </c>
    </row>
    <row r="66" spans="1:23" x14ac:dyDescent="0.2">
      <c r="A66" s="5">
        <v>103013</v>
      </c>
      <c r="B66" s="5" t="s">
        <v>190</v>
      </c>
      <c r="C66" s="5">
        <v>1</v>
      </c>
      <c r="D66" s="5">
        <v>75</v>
      </c>
      <c r="E66" s="5">
        <v>83</v>
      </c>
      <c r="F66" s="5">
        <v>44</v>
      </c>
      <c r="G66" s="5">
        <f>SUM(D66:F66)</f>
        <v>202</v>
      </c>
      <c r="H66" s="5">
        <v>3</v>
      </c>
      <c r="I66" s="5">
        <v>10</v>
      </c>
      <c r="J66" s="5">
        <v>17</v>
      </c>
      <c r="K66" s="5">
        <v>15</v>
      </c>
      <c r="L66" s="5"/>
      <c r="M66" s="5">
        <f>MAX(25, INT(POWER(2.2,G66/45)))</f>
        <v>34</v>
      </c>
      <c r="N66" s="5">
        <v>0</v>
      </c>
      <c r="O66" s="5">
        <v>3</v>
      </c>
      <c r="P66" s="5" t="s">
        <v>341</v>
      </c>
      <c r="Q66" s="5"/>
      <c r="R66" s="5" t="s">
        <v>362</v>
      </c>
      <c r="S66" s="5"/>
      <c r="T66" s="5" t="s">
        <v>251</v>
      </c>
      <c r="U66" s="10" t="s">
        <v>366</v>
      </c>
      <c r="V66" s="5" t="s">
        <v>151</v>
      </c>
      <c r="W66">
        <f>COUNTIF([1]Sheet1!$D:$D, "*" &amp; A66 &amp; "*")</f>
        <v>1</v>
      </c>
    </row>
    <row r="67" spans="1:23" x14ac:dyDescent="0.2">
      <c r="A67" s="5">
        <v>103014</v>
      </c>
      <c r="B67" s="5" t="s">
        <v>167</v>
      </c>
      <c r="C67" s="5">
        <v>1</v>
      </c>
      <c r="D67" s="5">
        <v>76</v>
      </c>
      <c r="E67" s="5">
        <v>70</v>
      </c>
      <c r="F67" s="5">
        <v>83</v>
      </c>
      <c r="G67" s="5">
        <f>SUM(D67:F67)</f>
        <v>229</v>
      </c>
      <c r="H67" s="5">
        <v>3</v>
      </c>
      <c r="I67" s="5">
        <v>10</v>
      </c>
      <c r="J67" s="5">
        <v>17</v>
      </c>
      <c r="K67" s="5">
        <v>22</v>
      </c>
      <c r="L67" s="5">
        <v>1.5</v>
      </c>
      <c r="M67" s="5">
        <f>MAX(25, INT(POWER(2.2,G67/45)))</f>
        <v>55</v>
      </c>
      <c r="N67" s="5">
        <v>0</v>
      </c>
      <c r="O67" s="5">
        <v>3</v>
      </c>
      <c r="P67" s="5" t="s">
        <v>342</v>
      </c>
      <c r="Q67" s="5"/>
      <c r="R67" s="5"/>
      <c r="S67" s="5"/>
      <c r="T67" s="5" t="s">
        <v>245</v>
      </c>
      <c r="U67" s="10" t="s">
        <v>224</v>
      </c>
      <c r="V67" s="5" t="s">
        <v>133</v>
      </c>
      <c r="W67">
        <f>COUNTIF([1]Sheet1!$D:$D, "*" &amp; A67 &amp; "*")</f>
        <v>2</v>
      </c>
    </row>
    <row r="68" spans="1:23" x14ac:dyDescent="0.2">
      <c r="A68" s="5">
        <v>103015</v>
      </c>
      <c r="B68" s="5" t="s">
        <v>295</v>
      </c>
      <c r="C68" s="5">
        <v>1</v>
      </c>
      <c r="D68" s="5">
        <v>84</v>
      </c>
      <c r="E68" s="5">
        <v>77</v>
      </c>
      <c r="F68" s="5">
        <v>82</v>
      </c>
      <c r="G68" s="5">
        <f>SUM(D68:F68)</f>
        <v>243</v>
      </c>
      <c r="H68" s="5">
        <v>3</v>
      </c>
      <c r="I68" s="5">
        <v>10</v>
      </c>
      <c r="J68" s="5">
        <v>17</v>
      </c>
      <c r="K68" s="5"/>
      <c r="L68" s="5"/>
      <c r="M68" s="5">
        <f>MAX(25, INT(POWER(2.2,G68/45)))</f>
        <v>70</v>
      </c>
      <c r="N68" s="5">
        <v>0</v>
      </c>
      <c r="O68" s="5">
        <v>1</v>
      </c>
      <c r="P68" s="5" t="s">
        <v>336</v>
      </c>
      <c r="Q68" s="5"/>
      <c r="R68" s="5" t="s">
        <v>311</v>
      </c>
      <c r="S68" s="5" t="s">
        <v>410</v>
      </c>
      <c r="T68" s="5" t="s">
        <v>243</v>
      </c>
      <c r="U68" s="10" t="s">
        <v>99</v>
      </c>
      <c r="V68" s="5" t="s">
        <v>152</v>
      </c>
      <c r="W68">
        <f>COUNTIF([1]Sheet1!$D:$D, "*" &amp; A68 &amp; "*")</f>
        <v>2</v>
      </c>
    </row>
    <row r="69" spans="1:23" x14ac:dyDescent="0.2">
      <c r="A69" s="5">
        <v>103016</v>
      </c>
      <c r="B69" s="5" t="s">
        <v>181</v>
      </c>
      <c r="C69" s="5">
        <v>1</v>
      </c>
      <c r="D69" s="5">
        <v>57</v>
      </c>
      <c r="E69" s="5">
        <v>73</v>
      </c>
      <c r="F69" s="5">
        <v>14</v>
      </c>
      <c r="G69" s="5">
        <f>SUM(D69:F69)</f>
        <v>144</v>
      </c>
      <c r="H69" s="5">
        <v>3</v>
      </c>
      <c r="I69" s="5">
        <v>10</v>
      </c>
      <c r="J69" s="5">
        <v>17</v>
      </c>
      <c r="K69" s="5">
        <v>15</v>
      </c>
      <c r="L69" s="5"/>
      <c r="M69" s="5">
        <f>MAX(25, INT(POWER(2.2,G69/45)))</f>
        <v>25</v>
      </c>
      <c r="N69" s="5">
        <v>0</v>
      </c>
      <c r="O69" s="5">
        <v>3</v>
      </c>
      <c r="P69" s="5" t="s">
        <v>343</v>
      </c>
      <c r="Q69" s="5"/>
      <c r="R69" s="5" t="s">
        <v>390</v>
      </c>
      <c r="S69" t="s">
        <v>422</v>
      </c>
      <c r="T69" s="5" t="s">
        <v>251</v>
      </c>
      <c r="U69" s="10" t="s">
        <v>98</v>
      </c>
      <c r="V69" s="5" t="s">
        <v>153</v>
      </c>
      <c r="W69">
        <f>COUNTIF([1]Sheet1!$D:$D, "*" &amp; A69 &amp; "*")</f>
        <v>2</v>
      </c>
    </row>
    <row r="70" spans="1:23" x14ac:dyDescent="0.2">
      <c r="A70" s="5">
        <v>103017</v>
      </c>
      <c r="B70" s="5" t="s">
        <v>182</v>
      </c>
      <c r="C70" s="5">
        <v>1</v>
      </c>
      <c r="D70" s="5">
        <v>40</v>
      </c>
      <c r="E70" s="5">
        <v>74</v>
      </c>
      <c r="F70" s="5">
        <v>19</v>
      </c>
      <c r="G70" s="5">
        <f>SUM(D70:F70)</f>
        <v>133</v>
      </c>
      <c r="H70" s="5">
        <v>3</v>
      </c>
      <c r="I70" s="5">
        <v>10</v>
      </c>
      <c r="J70" s="5">
        <v>17</v>
      </c>
      <c r="K70" s="5">
        <v>15</v>
      </c>
      <c r="L70" s="5"/>
      <c r="M70" s="5">
        <f>MAX(25, INT(POWER(2.2,G70/45)))</f>
        <v>25</v>
      </c>
      <c r="N70" s="5">
        <v>0</v>
      </c>
      <c r="O70" s="5">
        <v>3</v>
      </c>
      <c r="P70" s="5" t="s">
        <v>343</v>
      </c>
      <c r="Q70" s="5"/>
      <c r="R70" s="5" t="s">
        <v>392</v>
      </c>
      <c r="S70" t="s">
        <v>422</v>
      </c>
      <c r="T70" s="5" t="s">
        <v>251</v>
      </c>
      <c r="U70" s="10" t="s">
        <v>98</v>
      </c>
      <c r="V70" s="5" t="s">
        <v>154</v>
      </c>
      <c r="W70">
        <f>COUNTIF([1]Sheet1!$D:$D, "*" &amp; A70 &amp; "*")</f>
        <v>2</v>
      </c>
    </row>
    <row r="71" spans="1:23" x14ac:dyDescent="0.2">
      <c r="A71" s="5">
        <v>103018</v>
      </c>
      <c r="B71" s="5" t="s">
        <v>286</v>
      </c>
      <c r="C71" s="5">
        <v>1</v>
      </c>
      <c r="D71" s="5">
        <v>76</v>
      </c>
      <c r="E71" s="5">
        <v>68</v>
      </c>
      <c r="F71" s="5">
        <v>82</v>
      </c>
      <c r="G71" s="5">
        <f>SUM(D71:F71)</f>
        <v>226</v>
      </c>
      <c r="H71" s="5">
        <v>3</v>
      </c>
      <c r="I71" s="5">
        <v>10</v>
      </c>
      <c r="J71" s="5">
        <v>17</v>
      </c>
      <c r="K71" s="5">
        <v>13</v>
      </c>
      <c r="L71" s="5">
        <v>2.5</v>
      </c>
      <c r="M71" s="5">
        <f>MAX(25, INT(POWER(2.2,G71/45)))</f>
        <v>52</v>
      </c>
      <c r="N71" s="5">
        <v>0</v>
      </c>
      <c r="O71" s="5">
        <v>3</v>
      </c>
      <c r="P71" s="5" t="s">
        <v>337</v>
      </c>
      <c r="Q71" s="5"/>
      <c r="R71" s="5"/>
      <c r="S71" s="5"/>
      <c r="T71" s="5" t="s">
        <v>245</v>
      </c>
      <c r="U71" s="10" t="s">
        <v>398</v>
      </c>
      <c r="V71" s="5" t="s">
        <v>157</v>
      </c>
      <c r="W71">
        <f>COUNTIF([1]Sheet1!$D:$D, "*" &amp; A71 &amp; "*")</f>
        <v>1</v>
      </c>
    </row>
    <row r="72" spans="1:23" x14ac:dyDescent="0.2">
      <c r="A72" s="5">
        <v>103019</v>
      </c>
      <c r="B72" s="5" t="s">
        <v>290</v>
      </c>
      <c r="C72" s="5">
        <v>1</v>
      </c>
      <c r="D72" s="5">
        <v>77</v>
      </c>
      <c r="E72" s="5">
        <v>62</v>
      </c>
      <c r="F72" s="5">
        <v>87</v>
      </c>
      <c r="G72" s="5">
        <f>SUM(D72:F72)</f>
        <v>226</v>
      </c>
      <c r="H72" s="5">
        <v>3</v>
      </c>
      <c r="I72" s="5">
        <v>10</v>
      </c>
      <c r="J72" s="5">
        <v>17</v>
      </c>
      <c r="K72" s="5">
        <v>30</v>
      </c>
      <c r="L72" s="5">
        <v>1.5</v>
      </c>
      <c r="M72" s="5">
        <f>MAX(25, INT(POWER(2.2,G72/45)))</f>
        <v>52</v>
      </c>
      <c r="N72" s="5">
        <v>0</v>
      </c>
      <c r="O72" s="5">
        <v>3</v>
      </c>
      <c r="P72" s="5" t="s">
        <v>338</v>
      </c>
      <c r="Q72" s="5"/>
      <c r="R72" s="5" t="s">
        <v>404</v>
      </c>
      <c r="T72" s="5" t="s">
        <v>245</v>
      </c>
      <c r="U72" s="10" t="s">
        <v>224</v>
      </c>
      <c r="V72" s="5" t="s">
        <v>158</v>
      </c>
      <c r="W72">
        <f>COUNTIF([1]Sheet1!$D:$D, "*" &amp; A72 &amp; "*")</f>
        <v>1</v>
      </c>
    </row>
    <row r="73" spans="1:23" x14ac:dyDescent="0.2">
      <c r="A73" s="5">
        <v>103020</v>
      </c>
      <c r="B73" s="5" t="s">
        <v>188</v>
      </c>
      <c r="C73" s="5">
        <v>1</v>
      </c>
      <c r="D73" s="5">
        <v>75</v>
      </c>
      <c r="E73" s="5">
        <v>74</v>
      </c>
      <c r="F73" s="5">
        <v>80</v>
      </c>
      <c r="G73" s="5">
        <f>SUM(D73:F73)</f>
        <v>229</v>
      </c>
      <c r="H73" s="5">
        <v>3</v>
      </c>
      <c r="I73" s="5">
        <v>10</v>
      </c>
      <c r="J73" s="5">
        <v>17</v>
      </c>
      <c r="K73" s="5"/>
      <c r="L73" s="5"/>
      <c r="M73" s="5">
        <f>MAX(25, INT(POWER(2.2,G73/45)))</f>
        <v>55</v>
      </c>
      <c r="N73" s="5">
        <v>0</v>
      </c>
      <c r="O73" s="5">
        <v>1</v>
      </c>
      <c r="P73" s="5" t="s">
        <v>335</v>
      </c>
      <c r="Q73" s="5"/>
      <c r="R73" s="5" t="s">
        <v>312</v>
      </c>
      <c r="S73" s="5" t="s">
        <v>404</v>
      </c>
      <c r="T73" s="5" t="s">
        <v>250</v>
      </c>
      <c r="U73" s="10" t="s">
        <v>99</v>
      </c>
      <c r="V73" s="5" t="s">
        <v>159</v>
      </c>
      <c r="W73">
        <f>COUNTIF([1]Sheet1!$D:$D, "*" &amp; A73 &amp; "*")</f>
        <v>1</v>
      </c>
    </row>
    <row r="74" spans="1:23" x14ac:dyDescent="0.2">
      <c r="A74" s="5">
        <v>103021</v>
      </c>
      <c r="B74" s="5" t="s">
        <v>186</v>
      </c>
      <c r="C74" s="5">
        <v>1</v>
      </c>
      <c r="D74" s="5">
        <v>86</v>
      </c>
      <c r="E74" s="5">
        <v>78</v>
      </c>
      <c r="F74" s="5">
        <v>81</v>
      </c>
      <c r="G74" s="5">
        <f>SUM(D74:F74)</f>
        <v>245</v>
      </c>
      <c r="H74" s="5">
        <v>3</v>
      </c>
      <c r="I74" s="5">
        <v>10</v>
      </c>
      <c r="J74" s="5">
        <v>17</v>
      </c>
      <c r="K74" s="5"/>
      <c r="L74" s="5"/>
      <c r="M74" s="5">
        <f>MAX(25, INT(POWER(2.2,G74/45)))</f>
        <v>73</v>
      </c>
      <c r="N74" s="5">
        <v>0</v>
      </c>
      <c r="O74" s="5">
        <v>1</v>
      </c>
      <c r="P74" s="5" t="s">
        <v>333</v>
      </c>
      <c r="Q74" s="5"/>
      <c r="R74" s="5" t="s">
        <v>414</v>
      </c>
      <c r="S74" s="5"/>
      <c r="T74" s="5" t="s">
        <v>243</v>
      </c>
      <c r="U74" s="10" t="s">
        <v>99</v>
      </c>
      <c r="V74" s="5" t="s">
        <v>162</v>
      </c>
      <c r="W74">
        <f>COUNTIF([1]Sheet1!$D:$D, "*" &amp; A74 &amp; "*")</f>
        <v>1</v>
      </c>
    </row>
    <row r="75" spans="1:23" x14ac:dyDescent="0.2">
      <c r="A75" s="5">
        <v>103022</v>
      </c>
      <c r="B75" s="5" t="s">
        <v>187</v>
      </c>
      <c r="C75" s="5">
        <v>1</v>
      </c>
      <c r="D75" s="5">
        <v>84</v>
      </c>
      <c r="E75" s="5">
        <v>78</v>
      </c>
      <c r="F75" s="5">
        <v>80</v>
      </c>
      <c r="G75" s="5">
        <f>SUM(D75:F75)</f>
        <v>242</v>
      </c>
      <c r="H75" s="5">
        <v>3</v>
      </c>
      <c r="I75" s="5">
        <v>10</v>
      </c>
      <c r="J75" s="5">
        <v>17</v>
      </c>
      <c r="K75" s="5"/>
      <c r="L75" s="5"/>
      <c r="M75" s="5">
        <f>MAX(25, INT(POWER(2.2,G75/45)))</f>
        <v>69</v>
      </c>
      <c r="N75" s="5">
        <v>0</v>
      </c>
      <c r="O75" s="5">
        <v>1</v>
      </c>
      <c r="P75" s="5" t="s">
        <v>335</v>
      </c>
      <c r="Q75" s="5"/>
      <c r="R75" s="5" t="s">
        <v>383</v>
      </c>
      <c r="S75" s="5" t="s">
        <v>409</v>
      </c>
      <c r="T75" s="5" t="s">
        <v>358</v>
      </c>
      <c r="U75" s="10" t="s">
        <v>99</v>
      </c>
      <c r="V75" s="5" t="s">
        <v>163</v>
      </c>
      <c r="W75">
        <f>COUNTIF([1]Sheet1!$D:$D, "*" &amp; A75 &amp; "*")</f>
        <v>1</v>
      </c>
    </row>
    <row r="76" spans="1:23" x14ac:dyDescent="0.2">
      <c r="A76" s="5">
        <v>104001</v>
      </c>
      <c r="B76" s="5" t="s">
        <v>164</v>
      </c>
      <c r="C76" s="5">
        <v>1</v>
      </c>
      <c r="D76" s="5">
        <v>97</v>
      </c>
      <c r="E76" s="5">
        <v>43</v>
      </c>
      <c r="F76" s="5">
        <v>100</v>
      </c>
      <c r="G76" s="5">
        <f>SUM(D76:F76)</f>
        <v>240</v>
      </c>
      <c r="H76" s="5">
        <v>4</v>
      </c>
      <c r="I76" s="5">
        <v>10</v>
      </c>
      <c r="J76" s="5">
        <v>17</v>
      </c>
      <c r="K76" s="5"/>
      <c r="L76" s="5"/>
      <c r="M76" s="5">
        <f>MAX(25, INT(POWER(2.2,G76/45)))</f>
        <v>67</v>
      </c>
      <c r="N76" s="5">
        <v>0</v>
      </c>
      <c r="O76" s="5">
        <v>1</v>
      </c>
      <c r="P76" s="5" t="s">
        <v>334</v>
      </c>
      <c r="Q76" s="5"/>
      <c r="R76" s="5" t="s">
        <v>382</v>
      </c>
      <c r="S76" s="5" t="s">
        <v>413</v>
      </c>
      <c r="T76" s="5" t="s">
        <v>247</v>
      </c>
      <c r="U76" s="10" t="s">
        <v>373</v>
      </c>
      <c r="V76" s="5" t="s">
        <v>129</v>
      </c>
      <c r="W76">
        <f>COUNTIF([1]Sheet1!$D:$D, "*" &amp; A76 &amp; "*")</f>
        <v>5</v>
      </c>
    </row>
    <row r="77" spans="1:23" x14ac:dyDescent="0.2">
      <c r="A77" s="5">
        <v>104002</v>
      </c>
      <c r="B77" s="5" t="s">
        <v>289</v>
      </c>
      <c r="C77" s="5">
        <v>1</v>
      </c>
      <c r="D77" s="5">
        <v>88</v>
      </c>
      <c r="E77" s="5">
        <v>60</v>
      </c>
      <c r="F77" s="5">
        <v>90</v>
      </c>
      <c r="G77" s="5">
        <f>SUM(D77:F77)</f>
        <v>238</v>
      </c>
      <c r="H77" s="5">
        <v>4</v>
      </c>
      <c r="I77" s="5">
        <v>10</v>
      </c>
      <c r="J77" s="5">
        <v>17</v>
      </c>
      <c r="K77" s="5"/>
      <c r="L77" s="5"/>
      <c r="M77" s="5">
        <f>MAX(25, INT(POWER(2.2,G77/45)))</f>
        <v>64</v>
      </c>
      <c r="N77" s="5">
        <v>0</v>
      </c>
      <c r="O77" s="5">
        <v>1</v>
      </c>
      <c r="P77" s="5" t="s">
        <v>334</v>
      </c>
      <c r="Q77" s="5"/>
      <c r="R77" s="5" t="s">
        <v>418</v>
      </c>
      <c r="S77" s="5"/>
      <c r="T77" s="5" t="s">
        <v>247</v>
      </c>
      <c r="U77" s="10" t="s">
        <v>99</v>
      </c>
      <c r="V77" s="5" t="s">
        <v>132</v>
      </c>
      <c r="W77">
        <f>COUNTIF([1]Sheet1!$D:$D, "*" &amp; A77 &amp; "*")</f>
        <v>1</v>
      </c>
    </row>
    <row r="78" spans="1:23" x14ac:dyDescent="0.2">
      <c r="A78" s="5">
        <v>104003</v>
      </c>
      <c r="B78" s="5" t="s">
        <v>64</v>
      </c>
      <c r="C78" s="5">
        <v>1</v>
      </c>
      <c r="D78" s="5">
        <v>86</v>
      </c>
      <c r="E78" s="5">
        <v>97</v>
      </c>
      <c r="F78" s="5">
        <v>50</v>
      </c>
      <c r="G78" s="5">
        <f>SUM(D78:F78)</f>
        <v>233</v>
      </c>
      <c r="H78" s="5">
        <v>4</v>
      </c>
      <c r="I78" s="5">
        <v>10</v>
      </c>
      <c r="J78" s="5">
        <v>17</v>
      </c>
      <c r="K78" s="5">
        <v>15</v>
      </c>
      <c r="L78" s="5"/>
      <c r="M78" s="5">
        <f>MAX(25, INT(POWER(2.2,G78/45)))</f>
        <v>59</v>
      </c>
      <c r="N78" s="5">
        <v>0</v>
      </c>
      <c r="O78" s="5">
        <v>3</v>
      </c>
      <c r="P78" s="5" t="s">
        <v>339</v>
      </c>
      <c r="Q78" s="5"/>
      <c r="R78" s="5" t="s">
        <v>349</v>
      </c>
      <c r="S78" s="5"/>
      <c r="T78" s="5" t="s">
        <v>246</v>
      </c>
      <c r="U78" s="10" t="s">
        <v>98</v>
      </c>
      <c r="V78" t="s">
        <v>44</v>
      </c>
      <c r="W78">
        <f>COUNTIF([1]Sheet1!$D:$D, "*" &amp; A78 &amp; "*")</f>
        <v>3</v>
      </c>
    </row>
    <row r="79" spans="1:23" x14ac:dyDescent="0.2">
      <c r="A79" s="5">
        <v>104004</v>
      </c>
      <c r="B79" s="5" t="s">
        <v>176</v>
      </c>
      <c r="C79" s="5">
        <v>1</v>
      </c>
      <c r="D79" s="5">
        <v>27</v>
      </c>
      <c r="E79" s="5">
        <v>81</v>
      </c>
      <c r="F79" s="5">
        <v>65</v>
      </c>
      <c r="G79" s="5">
        <f>SUM(D79:F79)</f>
        <v>173</v>
      </c>
      <c r="H79" s="5">
        <v>4</v>
      </c>
      <c r="I79" s="5">
        <v>10</v>
      </c>
      <c r="J79" s="5">
        <v>17</v>
      </c>
      <c r="K79" s="5">
        <v>15</v>
      </c>
      <c r="L79" s="5"/>
      <c r="M79" s="5">
        <f>MAX(25, INT(POWER(2.2,G79/45)))</f>
        <v>25</v>
      </c>
      <c r="N79" s="5">
        <v>0</v>
      </c>
      <c r="O79" s="5">
        <v>3</v>
      </c>
      <c r="P79" s="5" t="s">
        <v>343</v>
      </c>
      <c r="Q79" s="5"/>
      <c r="R79" s="5" t="s">
        <v>393</v>
      </c>
      <c r="S79" s="5"/>
      <c r="T79" s="5" t="s">
        <v>251</v>
      </c>
      <c r="U79" s="10" t="s">
        <v>98</v>
      </c>
      <c r="V79" s="5" t="s">
        <v>144</v>
      </c>
      <c r="W79">
        <f>COUNTIF([1]Sheet1!$D:$D, "*" &amp; A79 &amp; "*")</f>
        <v>1</v>
      </c>
    </row>
    <row r="80" spans="1:23" x14ac:dyDescent="0.2">
      <c r="A80" s="5">
        <v>104005</v>
      </c>
      <c r="B80" s="5" t="s">
        <v>197</v>
      </c>
      <c r="C80" s="5">
        <v>1</v>
      </c>
      <c r="D80" s="5">
        <v>78</v>
      </c>
      <c r="E80" s="5">
        <v>53</v>
      </c>
      <c r="F80" s="5">
        <v>75</v>
      </c>
      <c r="G80" s="5">
        <f>SUM(D80:F80)</f>
        <v>206</v>
      </c>
      <c r="H80" s="5">
        <v>4</v>
      </c>
      <c r="I80" s="5">
        <v>10</v>
      </c>
      <c r="J80" s="5">
        <v>17</v>
      </c>
      <c r="K80" s="5"/>
      <c r="L80" s="5"/>
      <c r="M80" s="5">
        <f>MAX(25, INT(POWER(2.2,G80/45)))</f>
        <v>36</v>
      </c>
      <c r="N80" s="5">
        <v>0</v>
      </c>
      <c r="O80" s="5">
        <v>1</v>
      </c>
      <c r="P80" s="5" t="s">
        <v>346</v>
      </c>
      <c r="Q80" s="5"/>
      <c r="R80" s="5" t="s">
        <v>405</v>
      </c>
      <c r="S80" s="5"/>
      <c r="T80" s="5" t="s">
        <v>356</v>
      </c>
      <c r="U80" s="10" t="s">
        <v>99</v>
      </c>
      <c r="V80" s="5" t="s">
        <v>198</v>
      </c>
      <c r="W80">
        <f>COUNTIF([1]Sheet1!$D:$D, "*" &amp; A80 &amp; "*")</f>
        <v>1</v>
      </c>
    </row>
    <row r="81" spans="1:23" x14ac:dyDescent="0.2">
      <c r="A81" s="5">
        <v>104006</v>
      </c>
      <c r="B81" s="5" t="s">
        <v>200</v>
      </c>
      <c r="C81" s="5">
        <v>1</v>
      </c>
      <c r="D81" s="5">
        <v>85</v>
      </c>
      <c r="E81" s="5">
        <v>63</v>
      </c>
      <c r="F81" s="5">
        <v>86</v>
      </c>
      <c r="G81" s="5">
        <f>SUM(D81:F81)</f>
        <v>234</v>
      </c>
      <c r="H81" s="5">
        <v>4</v>
      </c>
      <c r="I81" s="5">
        <v>10</v>
      </c>
      <c r="J81" s="5">
        <v>17</v>
      </c>
      <c r="K81" s="5">
        <v>13</v>
      </c>
      <c r="L81" s="5">
        <v>2.5</v>
      </c>
      <c r="M81" s="5">
        <f>MAX(25, INT(POWER(2.2,G81/45)))</f>
        <v>60</v>
      </c>
      <c r="N81" s="5">
        <v>0</v>
      </c>
      <c r="O81" s="5">
        <v>3</v>
      </c>
      <c r="P81" s="5" t="s">
        <v>337</v>
      </c>
      <c r="Q81" s="5"/>
      <c r="R81" s="5"/>
      <c r="S81" s="5"/>
      <c r="T81" s="5" t="s">
        <v>245</v>
      </c>
      <c r="U81" s="10" t="s">
        <v>398</v>
      </c>
      <c r="V81" s="5" t="s">
        <v>203</v>
      </c>
      <c r="W81">
        <f>COUNTIF([1]Sheet1!$D:$D, "*" &amp; A81 &amp; "*")</f>
        <v>2</v>
      </c>
    </row>
    <row r="82" spans="1:23" x14ac:dyDescent="0.2">
      <c r="A82" s="5">
        <v>104007</v>
      </c>
      <c r="B82" s="5" t="s">
        <v>277</v>
      </c>
      <c r="C82" s="5">
        <v>1</v>
      </c>
      <c r="D82" s="5">
        <v>63</v>
      </c>
      <c r="E82" s="5">
        <v>91</v>
      </c>
      <c r="F82" s="5">
        <v>43</v>
      </c>
      <c r="G82" s="5">
        <f>SUM(D82:F82)</f>
        <v>197</v>
      </c>
      <c r="H82" s="5">
        <v>4</v>
      </c>
      <c r="I82" s="5">
        <v>10</v>
      </c>
      <c r="J82" s="5">
        <v>17</v>
      </c>
      <c r="K82" s="5">
        <v>15</v>
      </c>
      <c r="L82" s="5"/>
      <c r="M82" s="5">
        <f>MAX(25, INT(POWER(2.2,G82/45)))</f>
        <v>31</v>
      </c>
      <c r="N82" s="5">
        <v>0</v>
      </c>
      <c r="O82" s="5">
        <v>3</v>
      </c>
      <c r="P82" s="5" t="s">
        <v>339</v>
      </c>
      <c r="Q82" s="5"/>
      <c r="R82" s="5" t="s">
        <v>397</v>
      </c>
      <c r="S82" s="5"/>
      <c r="T82" s="5" t="s">
        <v>246</v>
      </c>
      <c r="U82" s="10" t="s">
        <v>223</v>
      </c>
      <c r="V82" s="5" t="s">
        <v>210</v>
      </c>
      <c r="W82">
        <f>COUNTIF([1]Sheet1!$D:$D, "*" &amp; A82 &amp; "*")</f>
        <v>1</v>
      </c>
    </row>
    <row r="83" spans="1:23" x14ac:dyDescent="0.2">
      <c r="A83" s="5">
        <v>104008</v>
      </c>
      <c r="B83" s="5" t="s">
        <v>296</v>
      </c>
      <c r="C83" s="5">
        <v>1</v>
      </c>
      <c r="D83" s="5">
        <v>84</v>
      </c>
      <c r="E83" s="5">
        <v>89</v>
      </c>
      <c r="F83" s="5">
        <v>55</v>
      </c>
      <c r="G83" s="5">
        <f>SUM(D83:F83)</f>
        <v>228</v>
      </c>
      <c r="H83" s="5">
        <v>4</v>
      </c>
      <c r="I83" s="5">
        <v>10</v>
      </c>
      <c r="J83" s="5">
        <v>17</v>
      </c>
      <c r="K83" s="5">
        <v>15</v>
      </c>
      <c r="L83" s="5"/>
      <c r="M83" s="5">
        <f>MAX(25, INT(POWER(2.2,G83/45)))</f>
        <v>54</v>
      </c>
      <c r="N83" s="5">
        <v>0</v>
      </c>
      <c r="O83" s="5">
        <v>3</v>
      </c>
      <c r="P83" s="5" t="s">
        <v>339</v>
      </c>
      <c r="Q83" s="5"/>
      <c r="R83" s="5" t="s">
        <v>408</v>
      </c>
      <c r="S83" s="13" t="s">
        <v>423</v>
      </c>
      <c r="T83" s="5" t="s">
        <v>246</v>
      </c>
      <c r="U83" s="10" t="s">
        <v>222</v>
      </c>
      <c r="V83" s="5" t="s">
        <v>297</v>
      </c>
      <c r="W83">
        <f>COUNTIF([1]Sheet1!$D:$D, "*" &amp; A83 &amp; "*")</f>
        <v>1</v>
      </c>
    </row>
    <row r="84" spans="1:23" x14ac:dyDescent="0.2">
      <c r="A84" s="5">
        <v>105001</v>
      </c>
      <c r="B84" s="5" t="s">
        <v>85</v>
      </c>
      <c r="C84" s="5">
        <v>1</v>
      </c>
      <c r="D84" s="5">
        <v>94</v>
      </c>
      <c r="E84" s="5">
        <v>89</v>
      </c>
      <c r="F84" s="5">
        <v>87</v>
      </c>
      <c r="G84" s="5">
        <f>SUM(D84:F84)</f>
        <v>270</v>
      </c>
      <c r="H84" s="5">
        <v>5</v>
      </c>
      <c r="I84" s="5">
        <v>10</v>
      </c>
      <c r="J84" s="5">
        <v>17</v>
      </c>
      <c r="K84" s="5"/>
      <c r="L84" s="5"/>
      <c r="M84" s="5">
        <f>MAX(25, INT(POWER(2.2,G84/45)))</f>
        <v>113</v>
      </c>
      <c r="N84" s="5">
        <v>0</v>
      </c>
      <c r="O84" s="5">
        <v>1</v>
      </c>
      <c r="P84" s="5" t="s">
        <v>336</v>
      </c>
      <c r="Q84" s="5"/>
      <c r="R84" s="5" t="s">
        <v>375</v>
      </c>
      <c r="T84" s="5" t="s">
        <v>243</v>
      </c>
      <c r="U84" s="10" t="s">
        <v>99</v>
      </c>
      <c r="V84" s="5" t="s">
        <v>80</v>
      </c>
      <c r="W84">
        <f>COUNTIF([1]Sheet1!$D:$D, "*" &amp; A84 &amp; "*")</f>
        <v>2</v>
      </c>
    </row>
    <row r="85" spans="1:23" x14ac:dyDescent="0.2">
      <c r="A85" s="5">
        <v>105002</v>
      </c>
      <c r="B85" s="5" t="s">
        <v>183</v>
      </c>
      <c r="C85" s="5">
        <v>1</v>
      </c>
      <c r="D85" s="5">
        <v>80</v>
      </c>
      <c r="E85" s="5">
        <v>87</v>
      </c>
      <c r="F85" s="5">
        <v>67</v>
      </c>
      <c r="G85" s="5">
        <f>SUM(D85:F85)</f>
        <v>234</v>
      </c>
      <c r="H85" s="5">
        <v>5</v>
      </c>
      <c r="I85" s="5">
        <v>10</v>
      </c>
      <c r="J85" s="5">
        <v>17</v>
      </c>
      <c r="K85" s="5">
        <v>18</v>
      </c>
      <c r="L85" s="5"/>
      <c r="M85" s="5">
        <f>MAX(25, INT(POWER(2.2,G85/45)))</f>
        <v>60</v>
      </c>
      <c r="N85" s="5">
        <v>0</v>
      </c>
      <c r="O85" s="5">
        <v>3</v>
      </c>
      <c r="P85" s="5" t="s">
        <v>340</v>
      </c>
      <c r="Q85" s="5"/>
      <c r="T85" s="5" t="s">
        <v>251</v>
      </c>
      <c r="U85" s="10" t="s">
        <v>368</v>
      </c>
      <c r="V85" s="5" t="s">
        <v>155</v>
      </c>
      <c r="W85">
        <f>COUNTIF([1]Sheet1!$D:$D, "*" &amp; A85 &amp; "*")</f>
        <v>1</v>
      </c>
    </row>
    <row r="86" spans="1:23" x14ac:dyDescent="0.2">
      <c r="A86" s="5">
        <v>105003</v>
      </c>
      <c r="B86" s="5" t="s">
        <v>184</v>
      </c>
      <c r="C86" s="5">
        <v>1</v>
      </c>
      <c r="D86" s="5">
        <v>78</v>
      </c>
      <c r="E86" s="5">
        <v>87</v>
      </c>
      <c r="F86" s="5">
        <v>57</v>
      </c>
      <c r="G86" s="5">
        <f>SUM(D86:F86)</f>
        <v>222</v>
      </c>
      <c r="H86" s="5">
        <v>5</v>
      </c>
      <c r="I86" s="5">
        <v>10</v>
      </c>
      <c r="J86" s="5">
        <v>17</v>
      </c>
      <c r="K86" s="5">
        <v>18</v>
      </c>
      <c r="L86" s="5"/>
      <c r="M86" s="5">
        <f>MAX(25, INT(POWER(2.2,G86/45)))</f>
        <v>48</v>
      </c>
      <c r="N86" s="5">
        <v>0</v>
      </c>
      <c r="O86" s="5">
        <v>3</v>
      </c>
      <c r="P86" s="5" t="s">
        <v>340</v>
      </c>
      <c r="Q86" s="5"/>
      <c r="R86" s="13" t="s">
        <v>423</v>
      </c>
      <c r="T86" s="5" t="s">
        <v>251</v>
      </c>
      <c r="U86" s="10" t="s">
        <v>368</v>
      </c>
      <c r="V86" s="5" t="s">
        <v>156</v>
      </c>
      <c r="W86">
        <f>COUNTIF([1]Sheet1!$D:$D, "*" &amp; A86 &amp; "*")</f>
        <v>2</v>
      </c>
    </row>
    <row r="87" spans="1:23" x14ac:dyDescent="0.2">
      <c r="A87" s="5">
        <v>105004</v>
      </c>
      <c r="B87" s="5" t="s">
        <v>276</v>
      </c>
      <c r="C87" s="5">
        <v>1</v>
      </c>
      <c r="D87" s="5">
        <v>90</v>
      </c>
      <c r="E87" s="5">
        <v>84</v>
      </c>
      <c r="F87" s="5">
        <v>64</v>
      </c>
      <c r="G87" s="5">
        <f>SUM(D87:F87)</f>
        <v>238</v>
      </c>
      <c r="H87" s="5">
        <v>5</v>
      </c>
      <c r="I87" s="5">
        <v>10</v>
      </c>
      <c r="J87" s="5">
        <v>17</v>
      </c>
      <c r="K87" s="5"/>
      <c r="L87" s="5"/>
      <c r="M87" s="5">
        <f>MAX(25, INT(POWER(2.2,G87/45)))</f>
        <v>64</v>
      </c>
      <c r="N87" s="5">
        <v>0</v>
      </c>
      <c r="O87" s="5">
        <v>1</v>
      </c>
      <c r="P87" s="5" t="s">
        <v>335</v>
      </c>
      <c r="Q87" s="5"/>
      <c r="R87" t="s">
        <v>395</v>
      </c>
      <c r="T87" s="5" t="s">
        <v>244</v>
      </c>
      <c r="U87" s="10" t="s">
        <v>99</v>
      </c>
      <c r="V87" s="5" t="s">
        <v>195</v>
      </c>
      <c r="W87">
        <f>COUNTIF([1]Sheet1!$D:$D, "*" &amp; A87 &amp; "*")</f>
        <v>2</v>
      </c>
    </row>
    <row r="88" spans="1:23" x14ac:dyDescent="0.2">
      <c r="A88" s="5">
        <v>105005</v>
      </c>
      <c r="B88" s="5" t="s">
        <v>119</v>
      </c>
      <c r="C88" s="5">
        <v>1</v>
      </c>
      <c r="D88" s="5">
        <v>82</v>
      </c>
      <c r="E88" s="5">
        <v>92</v>
      </c>
      <c r="F88" s="5">
        <v>58</v>
      </c>
      <c r="G88" s="5">
        <f>SUM(D88:F88)</f>
        <v>232</v>
      </c>
      <c r="H88" s="5">
        <v>5</v>
      </c>
      <c r="I88" s="5">
        <v>10</v>
      </c>
      <c r="J88" s="5">
        <v>17</v>
      </c>
      <c r="K88" s="5">
        <v>15</v>
      </c>
      <c r="L88" s="5"/>
      <c r="M88" s="5">
        <f>MAX(25, INT(POWER(2.2,G88/45)))</f>
        <v>58</v>
      </c>
      <c r="N88" s="5">
        <v>0</v>
      </c>
      <c r="O88" s="5">
        <v>3</v>
      </c>
      <c r="P88" s="5" t="s">
        <v>339</v>
      </c>
      <c r="Q88" s="5"/>
      <c r="R88" s="5" t="s">
        <v>410</v>
      </c>
      <c r="T88" s="5" t="s">
        <v>246</v>
      </c>
      <c r="U88" s="10" t="s">
        <v>98</v>
      </c>
      <c r="V88" s="5" t="s">
        <v>105</v>
      </c>
      <c r="W88">
        <f>COUNTIF([1]Sheet1!$D:$D, "*" &amp; A88 &amp; "*")</f>
        <v>4</v>
      </c>
    </row>
    <row r="89" spans="1:23" x14ac:dyDescent="0.2">
      <c r="A89" s="5">
        <v>105006</v>
      </c>
      <c r="B89" s="5" t="s">
        <v>196</v>
      </c>
      <c r="C89" s="5">
        <v>1</v>
      </c>
      <c r="D89" s="5">
        <v>86</v>
      </c>
      <c r="E89" s="5">
        <v>84</v>
      </c>
      <c r="F89" s="5">
        <v>77</v>
      </c>
      <c r="G89" s="5">
        <f>SUM(D89:F89)</f>
        <v>247</v>
      </c>
      <c r="H89" s="5">
        <v>5</v>
      </c>
      <c r="I89" s="5">
        <v>10</v>
      </c>
      <c r="J89" s="5">
        <v>17</v>
      </c>
      <c r="K89" s="5"/>
      <c r="L89" s="5"/>
      <c r="M89" s="5">
        <f>MAX(25, INT(POWER(2.2,G89/45)))</f>
        <v>75</v>
      </c>
      <c r="N89" s="5">
        <v>0</v>
      </c>
      <c r="O89" s="5">
        <v>1</v>
      </c>
      <c r="P89" s="5" t="s">
        <v>333</v>
      </c>
      <c r="Q89" s="5"/>
      <c r="R89" t="s">
        <v>404</v>
      </c>
      <c r="T89" s="5" t="s">
        <v>280</v>
      </c>
      <c r="U89" s="10" t="s">
        <v>99</v>
      </c>
      <c r="V89" s="5" t="s">
        <v>204</v>
      </c>
      <c r="W89">
        <f>COUNTIF([1]Sheet1!$D:$D, "*" &amp; A89 &amp; "*")</f>
        <v>1</v>
      </c>
    </row>
    <row r="90" spans="1:23" x14ac:dyDescent="0.2">
      <c r="A90" s="5">
        <v>105007</v>
      </c>
      <c r="B90" s="5" t="s">
        <v>254</v>
      </c>
      <c r="C90" s="5">
        <v>1</v>
      </c>
      <c r="D90" s="5">
        <v>84</v>
      </c>
      <c r="E90" s="5">
        <v>85</v>
      </c>
      <c r="F90" s="5">
        <v>30</v>
      </c>
      <c r="G90" s="5">
        <f>SUM(D90:F90)</f>
        <v>199</v>
      </c>
      <c r="H90" s="5">
        <v>5</v>
      </c>
      <c r="I90" s="5">
        <v>10</v>
      </c>
      <c r="J90" s="5">
        <v>17</v>
      </c>
      <c r="K90" s="5">
        <v>18</v>
      </c>
      <c r="L90" s="5"/>
      <c r="M90" s="5">
        <f>MAX(25, INT(POWER(2.2,G90/45)))</f>
        <v>32</v>
      </c>
      <c r="N90" s="5">
        <v>0</v>
      </c>
      <c r="O90" s="5">
        <v>3</v>
      </c>
      <c r="P90" s="5" t="s">
        <v>340</v>
      </c>
      <c r="Q90" s="5"/>
      <c r="R90" t="s">
        <v>360</v>
      </c>
      <c r="T90" s="5" t="s">
        <v>246</v>
      </c>
      <c r="U90" s="10" t="s">
        <v>368</v>
      </c>
      <c r="V90" s="5" t="s">
        <v>255</v>
      </c>
      <c r="W90">
        <f>COUNTIF([1]Sheet1!$D:$D, "*" &amp; A90 &amp; "*")</f>
        <v>2</v>
      </c>
    </row>
    <row r="91" spans="1:23" x14ac:dyDescent="0.2">
      <c r="A91" s="5">
        <v>106001</v>
      </c>
      <c r="B91" s="5" t="s">
        <v>165</v>
      </c>
      <c r="C91" s="5">
        <v>1</v>
      </c>
      <c r="D91" s="5">
        <v>88</v>
      </c>
      <c r="E91" s="5">
        <v>41</v>
      </c>
      <c r="F91" s="5">
        <v>93</v>
      </c>
      <c r="G91" s="5">
        <f>SUM(D91:F91)</f>
        <v>222</v>
      </c>
      <c r="H91" s="5">
        <v>6</v>
      </c>
      <c r="I91" s="5">
        <v>10</v>
      </c>
      <c r="J91" s="5">
        <v>17</v>
      </c>
      <c r="K91" s="5"/>
      <c r="L91" s="5"/>
      <c r="M91" s="5">
        <f>MAX(25, INT(POWER(2.2,G91/45)))</f>
        <v>48</v>
      </c>
      <c r="N91" s="5">
        <v>0</v>
      </c>
      <c r="O91" s="5">
        <v>1</v>
      </c>
      <c r="P91" s="5" t="s">
        <v>334</v>
      </c>
      <c r="Q91" s="5"/>
      <c r="R91" s="5" t="s">
        <v>307</v>
      </c>
      <c r="S91" s="5"/>
      <c r="T91" s="5" t="s">
        <v>247</v>
      </c>
      <c r="U91" s="10" t="s">
        <v>233</v>
      </c>
      <c r="V91" s="5" t="s">
        <v>130</v>
      </c>
      <c r="W91">
        <f>COUNTIF([1]Sheet1!$D:$D, "*" &amp; A91 &amp; "*")</f>
        <v>1</v>
      </c>
    </row>
    <row r="92" spans="1:23" x14ac:dyDescent="0.2">
      <c r="A92" s="5">
        <v>106002</v>
      </c>
      <c r="B92" s="5" t="s">
        <v>166</v>
      </c>
      <c r="C92" s="5">
        <v>1</v>
      </c>
      <c r="D92" s="5">
        <v>89</v>
      </c>
      <c r="E92" s="5">
        <v>48</v>
      </c>
      <c r="F92" s="5">
        <v>92</v>
      </c>
      <c r="G92" s="5">
        <f>SUM(D92:F92)</f>
        <v>229</v>
      </c>
      <c r="H92" s="5">
        <v>6</v>
      </c>
      <c r="I92" s="5">
        <v>10</v>
      </c>
      <c r="J92" s="5">
        <v>17</v>
      </c>
      <c r="K92" s="5"/>
      <c r="L92" s="5"/>
      <c r="M92" s="5">
        <f>MAX(25, INT(POWER(2.2,G92/45)))</f>
        <v>55</v>
      </c>
      <c r="N92" s="5">
        <v>0</v>
      </c>
      <c r="O92" s="5">
        <v>1</v>
      </c>
      <c r="P92" s="5" t="s">
        <v>334</v>
      </c>
      <c r="Q92" s="5"/>
      <c r="R92" s="5" t="s">
        <v>312</v>
      </c>
      <c r="S92" s="5"/>
      <c r="T92" s="5" t="s">
        <v>249</v>
      </c>
      <c r="U92" s="10" t="s">
        <v>99</v>
      </c>
      <c r="V92" s="5" t="s">
        <v>131</v>
      </c>
      <c r="W92">
        <f>COUNTIF([1]Sheet1!$D:$D, "*" &amp; A92 &amp; "*")</f>
        <v>1</v>
      </c>
    </row>
    <row r="93" spans="1:23" x14ac:dyDescent="0.2">
      <c r="A93" s="5">
        <v>106003</v>
      </c>
      <c r="B93" s="5" t="s">
        <v>264</v>
      </c>
      <c r="C93" s="5">
        <v>1</v>
      </c>
      <c r="D93" s="5">
        <v>72</v>
      </c>
      <c r="E93" s="5">
        <v>93</v>
      </c>
      <c r="F93" s="5">
        <v>33</v>
      </c>
      <c r="G93" s="5">
        <f>SUM(D93:F93)</f>
        <v>198</v>
      </c>
      <c r="H93" s="5">
        <v>6</v>
      </c>
      <c r="I93" s="5">
        <v>10</v>
      </c>
      <c r="J93" s="5">
        <v>17</v>
      </c>
      <c r="K93" s="5">
        <v>15</v>
      </c>
      <c r="L93" s="5"/>
      <c r="M93" s="5">
        <f>MAX(25, INT(POWER(2.2,G93/45)))</f>
        <v>32</v>
      </c>
      <c r="N93" s="5">
        <v>0</v>
      </c>
      <c r="O93" s="5">
        <v>3</v>
      </c>
      <c r="P93" s="5" t="s">
        <v>339</v>
      </c>
      <c r="Q93" s="5"/>
      <c r="R93" s="5" t="s">
        <v>401</v>
      </c>
      <c r="S93" s="5"/>
      <c r="T93" s="5" t="s">
        <v>246</v>
      </c>
      <c r="U93" s="10" t="s">
        <v>98</v>
      </c>
      <c r="V93" s="5" t="s">
        <v>265</v>
      </c>
      <c r="W93">
        <f>COUNTIF([1]Sheet1!$D:$D, "*" &amp; A93 &amp; "*")</f>
        <v>1</v>
      </c>
    </row>
    <row r="94" spans="1:23" x14ac:dyDescent="0.2">
      <c r="A94" s="5">
        <v>106004</v>
      </c>
      <c r="B94" s="5" t="s">
        <v>266</v>
      </c>
      <c r="C94" s="5">
        <v>1</v>
      </c>
      <c r="D94" s="5">
        <v>72</v>
      </c>
      <c r="E94" s="5">
        <v>55</v>
      </c>
      <c r="F94" s="5">
        <v>78</v>
      </c>
      <c r="G94" s="5">
        <f>SUM(D94:F94)</f>
        <v>205</v>
      </c>
      <c r="H94" s="5">
        <v>6</v>
      </c>
      <c r="I94" s="5">
        <v>10</v>
      </c>
      <c r="J94" s="5">
        <v>17</v>
      </c>
      <c r="K94" s="5">
        <v>22</v>
      </c>
      <c r="L94" s="5">
        <v>1.5</v>
      </c>
      <c r="M94" s="5">
        <f>MAX(25, INT(POWER(2.2,G94/45)))</f>
        <v>36</v>
      </c>
      <c r="N94" s="5">
        <v>0</v>
      </c>
      <c r="O94" s="5">
        <v>3</v>
      </c>
      <c r="P94" s="5" t="s">
        <v>342</v>
      </c>
      <c r="Q94" s="5"/>
      <c r="R94" s="5"/>
      <c r="S94" s="5"/>
      <c r="T94" s="5" t="s">
        <v>245</v>
      </c>
      <c r="U94" s="10" t="s">
        <v>224</v>
      </c>
      <c r="V94" s="5" t="s">
        <v>269</v>
      </c>
      <c r="W94">
        <f>COUNTIF([1]Sheet1!$D:$D, "*" &amp; A94 &amp; "*")</f>
        <v>0</v>
      </c>
    </row>
    <row r="95" spans="1:23" x14ac:dyDescent="0.2">
      <c r="A95" s="5">
        <v>106005</v>
      </c>
      <c r="B95" s="5" t="s">
        <v>267</v>
      </c>
      <c r="C95" s="5">
        <v>1</v>
      </c>
      <c r="D95" s="5">
        <v>39</v>
      </c>
      <c r="E95" s="5">
        <v>80</v>
      </c>
      <c r="F95" s="5">
        <v>29</v>
      </c>
      <c r="G95" s="5">
        <f>SUM(D95:F95)</f>
        <v>148</v>
      </c>
      <c r="H95" s="5">
        <v>6</v>
      </c>
      <c r="I95" s="5">
        <v>10</v>
      </c>
      <c r="J95" s="5">
        <v>17</v>
      </c>
      <c r="K95" s="5">
        <v>15</v>
      </c>
      <c r="L95" s="5"/>
      <c r="M95" s="5">
        <f>MAX(25, INT(POWER(2.2,G95/45)))</f>
        <v>25</v>
      </c>
      <c r="N95" s="5">
        <v>0</v>
      </c>
      <c r="O95" s="5">
        <v>3</v>
      </c>
      <c r="P95" s="5" t="s">
        <v>339</v>
      </c>
      <c r="Q95" s="5"/>
      <c r="R95" s="5" t="s">
        <v>397</v>
      </c>
      <c r="S95" s="5"/>
      <c r="T95" s="5" t="s">
        <v>246</v>
      </c>
      <c r="U95" s="10" t="s">
        <v>98</v>
      </c>
      <c r="V95" s="5" t="s">
        <v>268</v>
      </c>
      <c r="W95">
        <f>COUNTIF([1]Sheet1!$D:$D, "*" &amp; A95 &amp; "*")</f>
        <v>1</v>
      </c>
    </row>
    <row r="96" spans="1:23" x14ac:dyDescent="0.2">
      <c r="A96" s="5">
        <v>106006</v>
      </c>
      <c r="B96" s="5" t="s">
        <v>270</v>
      </c>
      <c r="C96" s="5">
        <v>1</v>
      </c>
      <c r="D96" s="5">
        <v>76</v>
      </c>
      <c r="E96" s="5">
        <v>68</v>
      </c>
      <c r="F96" s="5">
        <v>82</v>
      </c>
      <c r="G96" s="5">
        <f>SUM(D96:F96)</f>
        <v>226</v>
      </c>
      <c r="H96" s="5">
        <v>6</v>
      </c>
      <c r="I96" s="5">
        <v>10</v>
      </c>
      <c r="J96" s="5">
        <v>17</v>
      </c>
      <c r="K96" s="5"/>
      <c r="L96" s="5"/>
      <c r="M96" s="5">
        <f>MAX(25, INT(POWER(2.2,G96/45)))</f>
        <v>52</v>
      </c>
      <c r="N96" s="5">
        <v>0</v>
      </c>
      <c r="O96" s="5">
        <v>1</v>
      </c>
      <c r="P96" s="5" t="s">
        <v>336</v>
      </c>
      <c r="Q96" s="5"/>
      <c r="R96" s="5"/>
      <c r="S96" s="5"/>
      <c r="T96" s="5" t="s">
        <v>353</v>
      </c>
      <c r="U96" s="10" t="s">
        <v>99</v>
      </c>
      <c r="V96" s="5" t="s">
        <v>271</v>
      </c>
      <c r="W96">
        <f>COUNTIF([1]Sheet1!$D:$D, "*" &amp; A96 &amp; "*")</f>
        <v>1</v>
      </c>
    </row>
    <row r="97" spans="1:23" x14ac:dyDescent="0.2">
      <c r="A97" s="5">
        <v>106007</v>
      </c>
      <c r="B97" s="5" t="s">
        <v>272</v>
      </c>
      <c r="C97" s="5">
        <v>1</v>
      </c>
      <c r="D97" s="5">
        <v>78</v>
      </c>
      <c r="E97" s="5">
        <v>90</v>
      </c>
      <c r="F97" s="5">
        <v>35</v>
      </c>
      <c r="G97" s="5">
        <f>SUM(D97:F97)</f>
        <v>203</v>
      </c>
      <c r="H97" s="5">
        <v>6</v>
      </c>
      <c r="I97" s="5">
        <v>10</v>
      </c>
      <c r="J97" s="5">
        <v>17</v>
      </c>
      <c r="K97" s="5">
        <v>15</v>
      </c>
      <c r="L97" s="5"/>
      <c r="M97" s="5">
        <f>MAX(25, INT(POWER(2.2,G97/45)))</f>
        <v>35</v>
      </c>
      <c r="N97" s="5">
        <v>0</v>
      </c>
      <c r="O97" s="5">
        <v>3</v>
      </c>
      <c r="P97" s="5" t="s">
        <v>339</v>
      </c>
      <c r="Q97" s="5"/>
      <c r="R97" s="5" t="s">
        <v>386</v>
      </c>
      <c r="S97" s="5"/>
      <c r="T97" s="5" t="s">
        <v>246</v>
      </c>
      <c r="U97" s="10" t="s">
        <v>98</v>
      </c>
      <c r="V97" s="5" t="s">
        <v>273</v>
      </c>
      <c r="W97">
        <f>COUNTIF([1]Sheet1!$D:$D, "*" &amp; A97 &amp; "*")</f>
        <v>1</v>
      </c>
    </row>
    <row r="98" spans="1:23" x14ac:dyDescent="0.2">
      <c r="A98" s="5">
        <v>106008</v>
      </c>
      <c r="B98" s="5" t="s">
        <v>274</v>
      </c>
      <c r="C98" s="5">
        <v>1</v>
      </c>
      <c r="D98" s="5">
        <v>52</v>
      </c>
      <c r="E98" s="5">
        <v>83</v>
      </c>
      <c r="F98" s="5">
        <v>50</v>
      </c>
      <c r="G98" s="5">
        <f>SUM(D98:F98)</f>
        <v>185</v>
      </c>
      <c r="H98" s="5">
        <v>6</v>
      </c>
      <c r="I98" s="5">
        <v>10</v>
      </c>
      <c r="J98" s="5">
        <v>17</v>
      </c>
      <c r="K98" s="5">
        <v>15</v>
      </c>
      <c r="L98" s="5"/>
      <c r="M98" s="5">
        <f>MAX(25, INT(POWER(2.2,G98/45)))</f>
        <v>25</v>
      </c>
      <c r="N98" s="5">
        <v>0</v>
      </c>
      <c r="O98" s="5">
        <v>3</v>
      </c>
      <c r="P98" s="5" t="s">
        <v>341</v>
      </c>
      <c r="Q98" s="5"/>
      <c r="R98" s="5" t="s">
        <v>362</v>
      </c>
      <c r="S98" s="5" t="s">
        <v>406</v>
      </c>
      <c r="T98" s="5" t="s">
        <v>251</v>
      </c>
      <c r="U98" s="10" t="s">
        <v>366</v>
      </c>
      <c r="V98" s="5" t="s">
        <v>275</v>
      </c>
      <c r="W98">
        <f>COUNTIF([1]Sheet1!$D:$D, "*" &amp; A98 &amp; "*")</f>
        <v>1</v>
      </c>
    </row>
    <row r="99" spans="1:23" x14ac:dyDescent="0.2">
      <c r="A99" s="5">
        <v>110001</v>
      </c>
      <c r="B99" s="5" t="s">
        <v>189</v>
      </c>
      <c r="C99" s="5">
        <v>1</v>
      </c>
      <c r="D99" s="5">
        <v>83</v>
      </c>
      <c r="E99" s="5">
        <v>75</v>
      </c>
      <c r="F99" s="5">
        <v>82</v>
      </c>
      <c r="G99" s="5">
        <f>SUM(D99:F99)</f>
        <v>240</v>
      </c>
      <c r="H99" s="5">
        <v>10</v>
      </c>
      <c r="I99" s="5">
        <v>10</v>
      </c>
      <c r="J99" s="5">
        <v>17</v>
      </c>
      <c r="K99" s="5"/>
      <c r="L99" s="5"/>
      <c r="M99" s="5">
        <f>MAX(25, INT(POWER(2.2,G99/45)))</f>
        <v>67</v>
      </c>
      <c r="N99" s="5">
        <v>0</v>
      </c>
      <c r="O99" s="5">
        <v>1</v>
      </c>
      <c r="P99" s="5" t="s">
        <v>346</v>
      </c>
      <c r="Q99" s="5"/>
      <c r="R99" s="5" t="s">
        <v>414</v>
      </c>
      <c r="S99" s="5"/>
      <c r="T99" s="5" t="s">
        <v>359</v>
      </c>
      <c r="U99" s="10" t="s">
        <v>99</v>
      </c>
      <c r="V99" s="5" t="s">
        <v>135</v>
      </c>
      <c r="W99">
        <f>COUNTIF([1]Sheet1!$D:$D, "*" &amp; A99 &amp; "*")</f>
        <v>2</v>
      </c>
    </row>
    <row r="100" spans="1:23" x14ac:dyDescent="0.2">
      <c r="A100" s="5">
        <v>110002</v>
      </c>
      <c r="B100" s="5" t="s">
        <v>301</v>
      </c>
      <c r="C100" s="5">
        <v>1</v>
      </c>
      <c r="D100" s="5">
        <v>88</v>
      </c>
      <c r="E100" s="5">
        <v>75</v>
      </c>
      <c r="F100" s="5">
        <v>84</v>
      </c>
      <c r="G100" s="5">
        <f>SUM(D100:F100)</f>
        <v>247</v>
      </c>
      <c r="H100" s="5">
        <v>10</v>
      </c>
      <c r="I100" s="5">
        <v>10</v>
      </c>
      <c r="J100" s="5">
        <v>17</v>
      </c>
      <c r="K100" s="5">
        <v>22</v>
      </c>
      <c r="L100" s="5">
        <v>1.5</v>
      </c>
      <c r="M100" s="5">
        <f>MAX(25, INT(POWER(2.2,G100/45)))</f>
        <v>75</v>
      </c>
      <c r="N100" s="5">
        <v>0</v>
      </c>
      <c r="O100" s="5">
        <v>3</v>
      </c>
      <c r="P100" s="5" t="s">
        <v>342</v>
      </c>
      <c r="Q100" s="5"/>
      <c r="R100" s="5" t="s">
        <v>421</v>
      </c>
      <c r="S100" s="5"/>
      <c r="T100" s="5" t="s">
        <v>245</v>
      </c>
      <c r="U100" s="10" t="s">
        <v>224</v>
      </c>
      <c r="V100" s="5" t="s">
        <v>104</v>
      </c>
      <c r="W100">
        <f>COUNTIF([1]Sheet1!$D:$D, "*" &amp; A100 &amp; "*")</f>
        <v>1</v>
      </c>
    </row>
    <row r="101" spans="1:23" x14ac:dyDescent="0.2">
      <c r="A101" s="5">
        <v>110003</v>
      </c>
      <c r="B101" s="5" t="s">
        <v>185</v>
      </c>
      <c r="C101" s="5">
        <v>1</v>
      </c>
      <c r="D101" s="5">
        <v>60</v>
      </c>
      <c r="E101" s="5">
        <v>77</v>
      </c>
      <c r="F101" s="5">
        <v>34</v>
      </c>
      <c r="G101" s="5">
        <f>SUM(D101:F101)</f>
        <v>171</v>
      </c>
      <c r="H101" s="5">
        <v>10</v>
      </c>
      <c r="I101" s="5">
        <v>10</v>
      </c>
      <c r="J101" s="5">
        <v>17</v>
      </c>
      <c r="K101" s="5">
        <v>14</v>
      </c>
      <c r="L101" s="5"/>
      <c r="M101" s="5">
        <f>MAX(25, INT(POWER(2.2,G101/45)))</f>
        <v>25</v>
      </c>
      <c r="N101" s="5">
        <v>0</v>
      </c>
      <c r="O101" s="5">
        <v>3</v>
      </c>
      <c r="P101" s="5" t="s">
        <v>344</v>
      </c>
      <c r="Q101" s="5"/>
      <c r="R101" s="5" t="s">
        <v>394</v>
      </c>
      <c r="S101" s="5"/>
      <c r="T101" s="5" t="s">
        <v>251</v>
      </c>
      <c r="U101" s="10" t="s">
        <v>365</v>
      </c>
      <c r="V101" s="5" t="s">
        <v>161</v>
      </c>
      <c r="W101">
        <f>COUNTIF([1]Sheet1!$D:$D, "*" &amp; A101 &amp; "*")</f>
        <v>2</v>
      </c>
    </row>
    <row r="102" spans="1:23" x14ac:dyDescent="0.2">
      <c r="A102" s="5">
        <v>110004</v>
      </c>
      <c r="B102" s="5" t="s">
        <v>213</v>
      </c>
      <c r="C102" s="5">
        <v>1</v>
      </c>
      <c r="D102" s="5">
        <v>67</v>
      </c>
      <c r="E102" s="5">
        <v>65</v>
      </c>
      <c r="F102" s="5">
        <v>65</v>
      </c>
      <c r="G102" s="5">
        <f>SUM(D102:F102)</f>
        <v>197</v>
      </c>
      <c r="H102" s="5">
        <v>10</v>
      </c>
      <c r="I102" s="5">
        <v>10</v>
      </c>
      <c r="J102" s="5">
        <v>17</v>
      </c>
      <c r="K102" s="5"/>
      <c r="L102" s="5"/>
      <c r="M102" s="5">
        <f>MAX(25, INT(POWER(2.2,G102/45)))</f>
        <v>31</v>
      </c>
      <c r="N102" s="5">
        <v>0</v>
      </c>
      <c r="O102" s="5">
        <v>1</v>
      </c>
      <c r="P102" s="5" t="s">
        <v>335</v>
      </c>
      <c r="Q102" s="5"/>
      <c r="R102" s="5"/>
      <c r="S102" s="5"/>
      <c r="T102" s="5" t="s">
        <v>357</v>
      </c>
      <c r="U102" s="10" t="s">
        <v>99</v>
      </c>
      <c r="V102" s="5" t="s">
        <v>214</v>
      </c>
      <c r="W102">
        <f>COUNTIF([1]Sheet1!$D:$D, "*" &amp; A102 &amp; "*")</f>
        <v>3</v>
      </c>
    </row>
    <row r="103" spans="1:23" x14ac:dyDescent="0.2">
      <c r="A103" s="5">
        <v>110005</v>
      </c>
      <c r="B103" s="5" t="s">
        <v>215</v>
      </c>
      <c r="C103" s="5">
        <v>1</v>
      </c>
      <c r="D103" s="5">
        <v>82</v>
      </c>
      <c r="E103" s="5">
        <v>51</v>
      </c>
      <c r="F103" s="5">
        <v>80</v>
      </c>
      <c r="G103" s="5">
        <f>SUM(D103:F103)</f>
        <v>213</v>
      </c>
      <c r="H103" s="5">
        <v>10</v>
      </c>
      <c r="I103" s="5">
        <v>10</v>
      </c>
      <c r="J103" s="5">
        <v>17</v>
      </c>
      <c r="K103" s="5"/>
      <c r="L103" s="5"/>
      <c r="M103" s="5">
        <f>MAX(25, INT(POWER(2.2,G103/45)))</f>
        <v>41</v>
      </c>
      <c r="N103" s="5">
        <v>0</v>
      </c>
      <c r="O103" s="5">
        <v>1</v>
      </c>
      <c r="P103" s="5" t="s">
        <v>346</v>
      </c>
      <c r="Q103" s="5"/>
      <c r="R103" s="5" t="s">
        <v>413</v>
      </c>
      <c r="S103" s="5"/>
      <c r="T103" s="5" t="s">
        <v>353</v>
      </c>
      <c r="U103" s="10" t="s">
        <v>99</v>
      </c>
      <c r="V103" s="5" t="s">
        <v>216</v>
      </c>
      <c r="W103">
        <f>COUNTIF([1]Sheet1!$D:$D, "*" &amp; A103 &amp; "*")</f>
        <v>3</v>
      </c>
    </row>
    <row r="104" spans="1:23" x14ac:dyDescent="0.2">
      <c r="A104" s="5">
        <v>110006</v>
      </c>
      <c r="B104" s="5" t="s">
        <v>201</v>
      </c>
      <c r="C104" s="5">
        <v>1</v>
      </c>
      <c r="D104" s="5">
        <v>47</v>
      </c>
      <c r="E104" s="5">
        <v>73</v>
      </c>
      <c r="F104" s="5">
        <v>41</v>
      </c>
      <c r="G104" s="5">
        <f>SUM(D104:F104)</f>
        <v>161</v>
      </c>
      <c r="H104" s="5">
        <v>10</v>
      </c>
      <c r="I104" s="5">
        <v>10</v>
      </c>
      <c r="J104" s="5">
        <v>17</v>
      </c>
      <c r="K104" s="5">
        <v>14</v>
      </c>
      <c r="L104" s="5"/>
      <c r="M104" s="5">
        <f>MAX(25, INT(POWER(2.2,G104/45)))</f>
        <v>25</v>
      </c>
      <c r="N104" s="5">
        <v>0</v>
      </c>
      <c r="O104" s="5">
        <v>3</v>
      </c>
      <c r="P104" s="5" t="s">
        <v>344</v>
      </c>
      <c r="Q104" s="5"/>
      <c r="R104" s="5" t="s">
        <v>389</v>
      </c>
      <c r="S104" s="5"/>
      <c r="T104" s="5" t="s">
        <v>251</v>
      </c>
      <c r="U104" s="10" t="s">
        <v>365</v>
      </c>
      <c r="V104" s="5" t="s">
        <v>202</v>
      </c>
      <c r="W104">
        <f>COUNTIF([1]Sheet1!$D:$D, "*" &amp; A104 &amp; "*")</f>
        <v>0</v>
      </c>
    </row>
    <row r="105" spans="1:23" x14ac:dyDescent="0.2">
      <c r="A105" s="5">
        <v>110007</v>
      </c>
      <c r="B105" s="5" t="s">
        <v>258</v>
      </c>
      <c r="C105" s="5">
        <v>1</v>
      </c>
      <c r="D105" s="5">
        <v>87</v>
      </c>
      <c r="E105" s="5">
        <v>86</v>
      </c>
      <c r="F105" s="5">
        <v>29</v>
      </c>
      <c r="G105" s="5">
        <f>SUM(D105:F105)</f>
        <v>202</v>
      </c>
      <c r="H105" s="5">
        <v>10</v>
      </c>
      <c r="I105" s="5">
        <v>10</v>
      </c>
      <c r="J105" s="5">
        <v>17</v>
      </c>
      <c r="K105" s="5">
        <v>15</v>
      </c>
      <c r="L105" s="5"/>
      <c r="M105" s="5">
        <f>MAX(25, INT(POWER(2.2,G105/45)))</f>
        <v>34</v>
      </c>
      <c r="N105" s="5">
        <v>0</v>
      </c>
      <c r="O105" s="5">
        <v>3</v>
      </c>
      <c r="P105" s="5" t="s">
        <v>339</v>
      </c>
      <c r="Q105" s="5"/>
      <c r="R105" s="5" t="s">
        <v>320</v>
      </c>
      <c r="S105" t="s">
        <v>422</v>
      </c>
      <c r="T105" s="5" t="s">
        <v>246</v>
      </c>
      <c r="U105" s="10" t="s">
        <v>219</v>
      </c>
      <c r="V105" s="5" t="s">
        <v>259</v>
      </c>
      <c r="W105">
        <f>COUNTIF([1]Sheet1!$D:$D, "*" &amp; A105 &amp; "*")</f>
        <v>1</v>
      </c>
    </row>
    <row r="106" spans="1:23" x14ac:dyDescent="0.2">
      <c r="A106" s="5">
        <v>110008</v>
      </c>
      <c r="B106" s="5" t="s">
        <v>261</v>
      </c>
      <c r="C106" s="5">
        <v>1</v>
      </c>
      <c r="D106" s="5">
        <v>83</v>
      </c>
      <c r="E106" s="5">
        <v>81</v>
      </c>
      <c r="F106" s="5">
        <v>71</v>
      </c>
      <c r="G106" s="5">
        <f>SUM(D106:F106)</f>
        <v>235</v>
      </c>
      <c r="H106" s="5">
        <v>10</v>
      </c>
      <c r="I106" s="5">
        <v>10</v>
      </c>
      <c r="J106" s="5">
        <v>17</v>
      </c>
      <c r="K106" s="5"/>
      <c r="L106" s="5"/>
      <c r="M106" s="5">
        <f>MAX(25, INT(POWER(2.2,G106/45)))</f>
        <v>61</v>
      </c>
      <c r="N106" s="5">
        <v>0</v>
      </c>
      <c r="O106" s="5">
        <v>1</v>
      </c>
      <c r="P106" s="5" t="s">
        <v>336</v>
      </c>
      <c r="Q106" s="5"/>
      <c r="R106" s="5" t="s">
        <v>361</v>
      </c>
      <c r="S106" s="5"/>
      <c r="T106" s="5" t="s">
        <v>279</v>
      </c>
      <c r="U106" s="10" t="s">
        <v>99</v>
      </c>
      <c r="V106" s="5" t="s">
        <v>260</v>
      </c>
      <c r="W106">
        <f>COUNTIF([1]Sheet1!$D:$D, "*" &amp; A106 &amp; "*")</f>
        <v>1</v>
      </c>
    </row>
    <row r="107" spans="1:23" x14ac:dyDescent="0.2">
      <c r="A107" s="5">
        <v>110009</v>
      </c>
      <c r="B107" s="5" t="s">
        <v>263</v>
      </c>
      <c r="C107" s="5">
        <v>1</v>
      </c>
      <c r="D107" s="5">
        <v>78</v>
      </c>
      <c r="E107" s="5">
        <v>74</v>
      </c>
      <c r="F107" s="5">
        <v>80</v>
      </c>
      <c r="G107" s="5">
        <f>SUM(D107:F107)</f>
        <v>232</v>
      </c>
      <c r="H107" s="5">
        <v>10</v>
      </c>
      <c r="I107" s="5">
        <v>10</v>
      </c>
      <c r="J107" s="5">
        <v>17</v>
      </c>
      <c r="K107" s="5">
        <v>13</v>
      </c>
      <c r="L107" s="5">
        <v>2.5</v>
      </c>
      <c r="M107" s="5">
        <f>MAX(25, INT(POWER(2.2,G107/45)))</f>
        <v>58</v>
      </c>
      <c r="N107" s="5">
        <v>0</v>
      </c>
      <c r="O107" s="5">
        <v>3</v>
      </c>
      <c r="P107" s="5" t="s">
        <v>380</v>
      </c>
      <c r="Q107" s="5"/>
      <c r="R107" s="5"/>
      <c r="S107" s="5"/>
      <c r="T107" s="5" t="s">
        <v>278</v>
      </c>
      <c r="U107" s="10" t="s">
        <v>99</v>
      </c>
      <c r="V107" s="5" t="s">
        <v>262</v>
      </c>
      <c r="W107">
        <f>COUNTIF([1]Sheet1!$D:$D, "*" &amp; A107 &amp; "*")</f>
        <v>1</v>
      </c>
    </row>
  </sheetData>
  <autoFilter ref="A4:W107">
    <sortState ref="A5:W130">
      <sortCondition ref="A4:A130"/>
    </sortState>
  </autoFilter>
  <sortState ref="A5:Q43">
    <sortCondition ref="A41"/>
  </sortState>
  <phoneticPr fontId="2" type="noConversion"/>
  <conditionalFormatting sqref="D84:F89 D5:F82">
    <cfRule type="cellIs" dxfId="29" priority="114" operator="greaterThanOrEqual">
      <formula>90</formula>
    </cfRule>
  </conditionalFormatting>
  <conditionalFormatting sqref="D90:F90">
    <cfRule type="cellIs" dxfId="28" priority="108" operator="greaterThanOrEqual">
      <formula>90</formula>
    </cfRule>
  </conditionalFormatting>
  <conditionalFormatting sqref="D91:F91">
    <cfRule type="cellIs" dxfId="27" priority="106" operator="greaterThanOrEqual">
      <formula>90</formula>
    </cfRule>
  </conditionalFormatting>
  <conditionalFormatting sqref="D92:F92">
    <cfRule type="cellIs" dxfId="26" priority="101" operator="greaterThanOrEqual">
      <formula>90</formula>
    </cfRule>
  </conditionalFormatting>
  <conditionalFormatting sqref="D99:F99">
    <cfRule type="cellIs" dxfId="25" priority="99" operator="greaterThanOrEqual">
      <formula>90</formula>
    </cfRule>
  </conditionalFormatting>
  <conditionalFormatting sqref="D100:F100">
    <cfRule type="cellIs" dxfId="24" priority="97" operator="greaterThanOrEqual">
      <formula>90</formula>
    </cfRule>
  </conditionalFormatting>
  <conditionalFormatting sqref="D101:F101">
    <cfRule type="cellIs" dxfId="23" priority="95" operator="greaterThanOrEqual">
      <formula>90</formula>
    </cfRule>
  </conditionalFormatting>
  <conditionalFormatting sqref="D102:F102">
    <cfRule type="cellIs" dxfId="22" priority="90" operator="greaterThanOrEqual">
      <formula>90</formula>
    </cfRule>
  </conditionalFormatting>
  <conditionalFormatting sqref="D103:F103">
    <cfRule type="cellIs" dxfId="21" priority="86" operator="greaterThanOrEqual">
      <formula>90</formula>
    </cfRule>
  </conditionalFormatting>
  <conditionalFormatting sqref="D104:F104">
    <cfRule type="cellIs" dxfId="20" priority="82" operator="greaterThanOrEqual">
      <formula>90</formula>
    </cfRule>
  </conditionalFormatting>
  <conditionalFormatting sqref="D105:F105">
    <cfRule type="cellIs" dxfId="19" priority="75" operator="greaterThanOrEqual">
      <formula>90</formula>
    </cfRule>
  </conditionalFormatting>
  <conditionalFormatting sqref="D106:F106">
    <cfRule type="cellIs" dxfId="18" priority="74" operator="greaterThanOrEqual">
      <formula>90</formula>
    </cfRule>
  </conditionalFormatting>
  <conditionalFormatting sqref="D107:F107">
    <cfRule type="cellIs" dxfId="17" priority="73" operator="greaterThanOrEqual">
      <formula>90</formula>
    </cfRule>
  </conditionalFormatting>
  <conditionalFormatting sqref="D93:F93">
    <cfRule type="cellIs" dxfId="16" priority="72" operator="greaterThanOrEqual">
      <formula>90</formula>
    </cfRule>
  </conditionalFormatting>
  <conditionalFormatting sqref="D94:F94">
    <cfRule type="cellIs" dxfId="15" priority="67" operator="greaterThanOrEqual">
      <formula>90</formula>
    </cfRule>
  </conditionalFormatting>
  <conditionalFormatting sqref="D95:F95">
    <cfRule type="cellIs" dxfId="14" priority="66" operator="greaterThanOrEqual">
      <formula>90</formula>
    </cfRule>
  </conditionalFormatting>
  <conditionalFormatting sqref="D96:F96">
    <cfRule type="cellIs" dxfId="13" priority="65" operator="greaterThanOrEqual">
      <formula>90</formula>
    </cfRule>
  </conditionalFormatting>
  <conditionalFormatting sqref="D97:F97">
    <cfRule type="cellIs" dxfId="12" priority="64" operator="greaterThanOrEqual">
      <formula>90</formula>
    </cfRule>
  </conditionalFormatting>
  <conditionalFormatting sqref="D98:F98">
    <cfRule type="cellIs" dxfId="11" priority="63" operator="greaterThanOrEqual">
      <formula>90</formula>
    </cfRule>
  </conditionalFormatting>
  <conditionalFormatting sqref="D83:F83">
    <cfRule type="cellIs" dxfId="10" priority="56" operator="greaterThanOrEqual">
      <formula>90</formula>
    </cfRule>
  </conditionalFormatting>
  <conditionalFormatting sqref="P1:P1048576">
    <cfRule type="cellIs" dxfId="9" priority="1" operator="equal">
      <formula>"炮"</formula>
    </cfRule>
    <cfRule type="cellIs" dxfId="8" priority="2" operator="equal">
      <formula>"弩"</formula>
    </cfRule>
    <cfRule type="cellIs" dxfId="7" priority="3" operator="equal">
      <formula>"弓"</formula>
    </cfRule>
    <cfRule type="cellIs" dxfId="6" priority="4" operator="equal">
      <formula>"医"</formula>
    </cfRule>
    <cfRule type="cellIs" dxfId="5" priority="5" operator="equal">
      <formula>"乐"</formula>
    </cfRule>
    <cfRule type="cellIs" dxfId="4" priority="6" operator="equal">
      <formula>"鼓"</formula>
    </cfRule>
    <cfRule type="cellIs" dxfId="3" priority="7" operator="equal">
      <formula>"相"</formula>
    </cfRule>
    <cfRule type="cellIs" dxfId="2" priority="8" operator="equal">
      <formula>"扇"</formula>
    </cfRule>
    <cfRule type="cellIs" dxfId="1" priority="9" operator="equal">
      <formula>"谋"</formula>
    </cfRule>
    <cfRule type="cellIs" dxfId="0" priority="10" operator="equal">
      <formula>"帅"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2026-08-23T09:16:02Z</dcterms:modified>
</cp:coreProperties>
</file>